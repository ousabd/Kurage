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ats" sheetId="2" r:id="rId6"/>
    <sheet state="visible" name="Groupe NS" sheetId="3" r:id="rId7"/>
    <sheet state="visible" name="Groupe controle" sheetId="4" r:id="rId8"/>
    <sheet state="visible" name="Data" sheetId="5" r:id="rId9"/>
  </sheets>
  <definedNames>
    <definedName name="NS_BAR_V3_V1">#REF!</definedName>
    <definedName name="CT_MASM_V3">#REF!</definedName>
    <definedName name="NS_TM10_V5_V1">#REF!</definedName>
    <definedName name="NS_EQ_V4">#REF!</definedName>
    <definedName name="NS_mGES_V4">#REF!</definedName>
    <definedName name="CT_EQ_V5">#REF!</definedName>
    <definedName name="CT_BAR_V5">#REF!</definedName>
    <definedName name="CT_MASw_V4_V1">#REF!</definedName>
    <definedName name="NS_MRC5_V2_V1">#REF!</definedName>
    <definedName name="NS_TM10_V2">#REF!</definedName>
    <definedName name="NS_BAR_V1">#REF!</definedName>
    <definedName name="NS_TM6_V2">#REF!</definedName>
    <definedName name="NS_MAS2_V5">#REF!</definedName>
    <definedName name="NS_MAS0_V5">#REF!</definedName>
    <definedName name="NS_MRC5_V2">#REF!</definedName>
    <definedName name="NS_TM6_V1">'Groupe NS'!$L$4:$L$1000</definedName>
    <definedName name="CT_FAC_V4_V1">'Groupe controle'!$H$4:$H$999</definedName>
    <definedName name="CT_MRC3_V5">#REF!</definedName>
    <definedName name="CT_MAS0_V4_V1">#REF!</definedName>
    <definedName name="CT_MAS2_V5_V1">#REF!</definedName>
    <definedName name="CT_TM6_V1">'Groupe controle'!$L$4:$L$999</definedName>
    <definedName name="CT_EQ_V4_V1">#REF!</definedName>
    <definedName name="NS_MRC_V5">#REF!</definedName>
    <definedName name="NS_MRCw_V3_V1">#REF!</definedName>
    <definedName name="CT_EQ_V4">#REF!</definedName>
    <definedName name="CT_mGES_V4_V1">#REF!</definedName>
    <definedName name="CT_MRC3_V5_V1">#REF!</definedName>
    <definedName name="CT_MAS_V2_V1">#REF!</definedName>
    <definedName name="NS_MAS2_V2_V1">#REF!</definedName>
    <definedName name="NS_MRC_V4_V1">'Groupe NS'!$W$4:$W$1000</definedName>
    <definedName name="NS_MRC_V3">#REF!</definedName>
    <definedName name="CT_TM6_V2_V1">#REF!</definedName>
    <definedName name="NS_MRC3_V5_V1">#REF!</definedName>
    <definedName name="CT_MAS0_V4">#REF!</definedName>
    <definedName name="CT_MAS_V4_V1">'Groupe controle'!$T$4:$T$999</definedName>
    <definedName name="NS_MASi_V2_V1">#REF!</definedName>
    <definedName name="NS_MAS_V3_V1">#REF!</definedName>
    <definedName name="NS_TM10_V3_V1">#REF!</definedName>
    <definedName name="CT_MRC3_V4_V1">#REF!</definedName>
    <definedName name="CT_BAR_V3_V1">#REF!</definedName>
    <definedName name="NS_MASM_V5_V1">#REF!</definedName>
    <definedName name="NS_MRC3_V2">#REF!</definedName>
    <definedName name="NS_TUG_V5">#REF!</definedName>
    <definedName name="NS_MASw_V5_V1">#REF!</definedName>
    <definedName name="NS_FAC_V5">#REF!</definedName>
    <definedName name="CT_MRCm_V1">#REF!</definedName>
    <definedName name="NS_TUG_V3">#REF!</definedName>
    <definedName name="CT_MAS2_V5">#REF!</definedName>
    <definedName name="NS_BAR_V5_V1">#REF!</definedName>
    <definedName name="CT_TM6_V5_V1">#REF!</definedName>
    <definedName name="CT_MRC3_V1">#REF!</definedName>
    <definedName name="NS_TUG_V5_V1">#REF!</definedName>
    <definedName name="CT_FAC_V2_V1">#REF!</definedName>
    <definedName name="NS_TUG_V2">#REF!</definedName>
    <definedName name="CT_TM10_V2">#REF!</definedName>
    <definedName name="NS_FAC_V5_V1">#REF!</definedName>
    <definedName name="NS_TM10_V3">#REF!</definedName>
    <definedName name="NS_TM6_V5_V1">#REF!</definedName>
    <definedName name="NS_MRC3_V4_V1">#REF!</definedName>
    <definedName name="CT_MASM_V3_V1">#REF!</definedName>
    <definedName name="NS_MAS_V2">#REF!</definedName>
    <definedName name="CT_MRC5_V3_V1">#REF!</definedName>
    <definedName name="NS_MRC_V1">'Groupe NS'!$U$4:$U$1000</definedName>
    <definedName name="NS_MASM_V3">#REF!</definedName>
    <definedName name="CT_MAS0_V5">#REF!</definedName>
    <definedName name="NS_MAS0_V2_V1">#REF!</definedName>
    <definedName name="NS_MRC5_V5">#REF!</definedName>
    <definedName name="NS_FAC_V4">'Groupe NS'!$G$4:$G$1000</definedName>
    <definedName name="NS_MAS0_V4_V1">#REF!</definedName>
    <definedName name="CT_MAS0_V3">#REF!</definedName>
    <definedName name="CT_mGES_V4">#REF!</definedName>
    <definedName name="NS_BAR_V2">#REF!</definedName>
    <definedName name="NS_MAS2_V4_V1">#REF!</definedName>
    <definedName name="CT_MRCw_V4_V1">#REF!</definedName>
    <definedName name="CT_MAS2_V2_V1">#REF!</definedName>
    <definedName name="CT_MRCi_V3_V1">#REF!</definedName>
    <definedName name="NS_MRCm_V2_V1">#REF!</definedName>
    <definedName name="NS_MAS2_V2">#REF!</definedName>
    <definedName name="NS_MRCm_V5">#REF!</definedName>
    <definedName name="NS_TM10_V2_V1">#REF!</definedName>
    <definedName name="CT_TUG_V4">'Groupe controle'!$P$4:$P$999</definedName>
    <definedName name="CT_MRC_V5_V1">#REF!</definedName>
    <definedName name="NS_MRCw_V4_V1">#REF!</definedName>
    <definedName name="CT_MRC_V2_V1">#REF!</definedName>
    <definedName name="CT_MRC_V3_V1">#REF!</definedName>
    <definedName name="NS_MRC5_V4_V1">#REF!</definedName>
    <definedName name="NS_MASi_V5_V1">#REF!</definedName>
    <definedName name="NS_mGES_V1">#REF!</definedName>
    <definedName name="NS_FAC_V3_V1">#REF!</definedName>
    <definedName name="CT_TM10_V2_V1">#REF!</definedName>
    <definedName name="CT_MRC5_V4_V1">#REF!</definedName>
    <definedName name="CT_BAR_V4_V1">#REF!</definedName>
    <definedName name="CT_MAS2_V2">#REF!</definedName>
    <definedName name="NS_BAR_V3">#REF!</definedName>
    <definedName name="CT_TM10_V5_V1">#REF!</definedName>
    <definedName name="CT_TUG_V2_V1">#REF!</definedName>
    <definedName name="NS_FAC_V2_V1">#REF!</definedName>
    <definedName name="CT_MAS2_V3_V1">#REF!</definedName>
    <definedName name="CT_MRCw_V5_V1">#REF!</definedName>
    <definedName name="NS_MRC5_V3">#REF!</definedName>
    <definedName name="NS_MRC_V2_V1">#REF!</definedName>
    <definedName name="NS_TM6_V3">#REF!</definedName>
    <definedName name="CT_BAR_V2">#REF!</definedName>
    <definedName name="NS_FAC_V2">#REF!</definedName>
    <definedName name="CT_TUG_V5_V1">#REF!</definedName>
    <definedName name="CT_EQ_V5_V1">#REF!</definedName>
    <definedName name="NS_MRCm_V5_V1">#REF!</definedName>
    <definedName name="NS_MAS2_V5_V1">#REF!</definedName>
    <definedName name="NS_MAS_V5_V1">#REF!</definedName>
    <definedName name="CT_MRC_V1">'Groupe controle'!$U$4:$U$999</definedName>
    <definedName name="CT_MRCm_V3">#REF!</definedName>
    <definedName name="CT_BAR_V5_V1">#REF!</definedName>
    <definedName name="NS_TM6_V4">'Groupe NS'!$M$4:$M$1000</definedName>
    <definedName name="NS_MASM_V2">#REF!</definedName>
    <definedName name="NS_TUG_V2_V1">#REF!</definedName>
    <definedName name="CT_MAS2_V3">#REF!</definedName>
    <definedName name="CT_MRC5_V2_V1">#REF!</definedName>
    <definedName name="NS_MAS2_V3">#REF!</definedName>
    <definedName name="CT_TUG_V2">#REF!</definedName>
    <definedName name="CT_MAS_V4">'Groupe controle'!$S$4:$S$999</definedName>
    <definedName name="CT_TUG_V4_V1">'Groupe controle'!$Q$4:$Q$999</definedName>
    <definedName name="CT_MASi_V2_V1">#REF!</definedName>
    <definedName name="CT_TM6_V2">#REF!</definedName>
    <definedName name="CT_MAS_V5_V1">#REF!</definedName>
    <definedName name="NS_MAS0_V3_V1">#REF!</definedName>
    <definedName name="NS_EQ_V5">#REF!</definedName>
    <definedName name="CT_TM10_V3_V1">#REF!</definedName>
    <definedName name="NS_MRCw_V2_V1">#REF!</definedName>
    <definedName name="CT_MRCm_V5_V1">#REF!</definedName>
    <definedName name="NS_TM10_V4_V1">'Groupe NS'!$K$4:$K$1000</definedName>
    <definedName name="NS_MRC_V3_V1">#REF!</definedName>
    <definedName name="CT_MRCm_V2">#REF!</definedName>
    <definedName name="CT_MRC_V4">'Groupe controle'!$V$4:$V$999</definedName>
    <definedName name="NS_MRC5_V5_V1">#REF!</definedName>
    <definedName name="CT_MASi_V3_V1">#REF!</definedName>
    <definedName name="CT_BAR_V1">#REF!</definedName>
    <definedName name="CT_TUG_V3">#REF!</definedName>
    <definedName name="NS_MAS_V4">'Groupe NS'!$S$4:$S$1000</definedName>
    <definedName name="CT_MRC3_V2_V1">#REF!</definedName>
    <definedName name="CT_MRC3_V4">#REF!</definedName>
    <definedName name="CT_MRC5_V1">#REF!</definedName>
    <definedName name="NS_MRC3_V2_V1">#REF!</definedName>
    <definedName name="NS_MRC_V2">#REF!</definedName>
    <definedName name="NS_MASM_V4">#REF!</definedName>
    <definedName name="CT_FAC_V5">#REF!</definedName>
    <definedName name="CT_MRCw_V2_V1">#REF!</definedName>
    <definedName name="CT_TM10_V3">#REF!</definedName>
    <definedName name="NS_mGES_V4_V1">#REF!</definedName>
    <definedName name="NS_TM6_V2_V1">#REF!</definedName>
    <definedName name="NS_MAS_V1">'Groupe NS'!$R$4:$R$1000</definedName>
    <definedName name="NS_MRC5_V1">#REF!</definedName>
    <definedName name="CT_MRC5_V3">#REF!</definedName>
    <definedName name="CT_FAC_V5_V1">#REF!</definedName>
    <definedName name="NS_BAR_V5">#REF!</definedName>
    <definedName name="NS_MRC3_V4">#REF!</definedName>
    <definedName name="CT_TUG_V1">'Groupe controle'!$O$4:$O$999</definedName>
    <definedName name="NS_EQ_V1">#REF!</definedName>
    <definedName name="CT_TM6_V4_V1">'Groupe controle'!$N$4:$N$999</definedName>
    <definedName name="NS_MAS_V4_V1">'Groupe NS'!$T$4:$T$1000</definedName>
    <definedName name="NS_MASM_V5">#REF!</definedName>
    <definedName name="CT_TM10_V1">'Groupe controle'!$I$4:$I$999</definedName>
    <definedName name="NS_MASi_V3_V1">#REF!</definedName>
    <definedName name="CT_MASM_V5_V1">#REF!</definedName>
    <definedName name="CT_MAS0_V5_V1">#REF!</definedName>
    <definedName name="NS_MRCi_V2_V1">#REF!</definedName>
    <definedName name="CT_TUG_V3_V1">#REF!</definedName>
    <definedName name="CT_MASM_V4">#REF!</definedName>
    <definedName name="CT_MRC5_V2">#REF!</definedName>
    <definedName name="NS_MAS0_V4">#REF!</definedName>
    <definedName name="CT_FAC_V3_V1">#REF!</definedName>
    <definedName name="CT_MASw_V2_V1">#REF!</definedName>
    <definedName name="NS_MRCm_V4">#REF!</definedName>
    <definedName name="NS_EQ_V5_V1">#REF!</definedName>
    <definedName name="NS_MASi_V4_V1">#REF!</definedName>
    <definedName name="NS_MRCi_V5_V1">#REF!</definedName>
    <definedName name="CT_MRC_V4_V1">'Groupe controle'!$W$4:$W$999</definedName>
    <definedName name="NS_TUG_V1">'Groupe NS'!$O$4:$O$1000</definedName>
    <definedName name="CT_MRCw_V3_V1">#REF!</definedName>
    <definedName name="CT_BAR_V3">#REF!</definedName>
    <definedName name="CT_MAS0_V2_V1">#REF!</definedName>
    <definedName name="CT_MRC_V3">#REF!</definedName>
    <definedName name="NS_TUG_V4_V1">'Groupe NS'!$Q$4:$Q$1000</definedName>
    <definedName name="NS_MAS_V5">#REF!</definedName>
    <definedName name="CT_MRC_V5">#REF!</definedName>
    <definedName name="NS_TM10_V5">#REF!</definedName>
    <definedName name="CT_MRC5_V5_V1">#REF!</definedName>
    <definedName name="NS_MASM_V4_V1">#REF!</definedName>
    <definedName name="CT_MASM_V2">#REF!</definedName>
    <definedName name="CT_TM6_V3_V1">#REF!</definedName>
    <definedName name="CT_mGES_V1">#REF!</definedName>
    <definedName name="CT_FAC_V1">'Groupe controle'!$F$4:$F$999</definedName>
    <definedName name="CT_MASM_V2_V1">#REF!</definedName>
    <definedName name="CT_MRCm_V4_V1">#REF!</definedName>
    <definedName name="CT_FAC_V4">'Groupe controle'!$G$4:$G$999</definedName>
    <definedName name="NS_FAC_V4_V1">'Groupe NS'!$H$4:$H$1000</definedName>
    <definedName name="NS_TM6_V3_V1">#REF!</definedName>
    <definedName name="CT_MASw_V3_V1">#REF!</definedName>
    <definedName name="CT_BAR_V2_V1">#REF!</definedName>
    <definedName name="NS_MRCi_V3_V1">#REF!</definedName>
    <definedName name="CT_MRCi_V5_V1">#REF!</definedName>
    <definedName name="CT_TM6_V3">#REF!</definedName>
    <definedName name="CT_MRCm_V3_V1">#REF!</definedName>
    <definedName name="NS_MRCm_V3_V1">#REF!</definedName>
    <definedName name="CT_MAS0_V2">#REF!</definedName>
    <definedName name="NS_EQ_V4_V1">#REF!</definedName>
    <definedName name="NS_MRCm_V1">#REF!</definedName>
    <definedName name="CT_MAS2_V4">#REF!</definedName>
    <definedName name="CT_MRCi_V4_V1">#REF!</definedName>
    <definedName name="CT_MASM_V4_V1">#REF!</definedName>
    <definedName name="CT_MAS_V3">#REF!</definedName>
    <definedName name="NS_MAS0_V1">#REF!</definedName>
    <definedName name="CT_MAS_V2">#REF!</definedName>
    <definedName name="CT_FAC_V3">#REF!</definedName>
    <definedName name="CT_MASM_V5">#REF!</definedName>
    <definedName name="NS_MRC3_V1">#REF!</definedName>
    <definedName name="NS_MRCw_V5_V1">#REF!</definedName>
    <definedName name="CT_MASi_V5_V1">#REF!</definedName>
    <definedName name="NS_MASM_V2_V1">#REF!</definedName>
    <definedName name="NS_MASw_V3_V1">#REF!</definedName>
    <definedName name="NS_BAR_V2_V1">#REF!</definedName>
    <definedName name="CT_MAS2_V1">#REF!</definedName>
    <definedName name="NS_MASw_V4_V1">#REF!</definedName>
    <definedName name="NS_TUG_V3_V1">#REF!</definedName>
    <definedName name="CT_MAS_V3_V1">#REF!</definedName>
    <definedName name="CT_MRC5_V4">#REF!</definedName>
    <definedName name="CT_MAS0_V3_V1">#REF!</definedName>
    <definedName name="CT_TM10_V5">#REF!</definedName>
    <definedName name="CT_MAS0_V1">#REF!</definedName>
    <definedName name="CT_MASi_V4_V1">#REF!</definedName>
    <definedName name="NS_MASM_V1">#REF!</definedName>
    <definedName name="CT_mGES_V5_V1">#REF!</definedName>
    <definedName name="NS_FAC_V3">#REF!</definedName>
    <definedName name="PlageNommée1">#REF!</definedName>
    <definedName name="NS_TM6_V4_V1">'Groupe NS'!$N$4:$N$1000</definedName>
    <definedName name="NS_TUG_V4">'Groupe NS'!$P$4:$P$1000</definedName>
    <definedName name="NS_MASw_V2_V1">#REF!</definedName>
    <definedName name="CT_MRCm_V4">#REF!</definedName>
    <definedName name="NS_MASM_V3_V1">#REF!</definedName>
    <definedName name="NS_TM10_V1">'Groupe NS'!$I$4:$I$1000</definedName>
    <definedName name="NS_MAS2_V3_V1">#REF!</definedName>
    <definedName name="NS_MRC5_V3_V1">#REF!</definedName>
    <definedName name="NS_MRCm_V4_V1">#REF!</definedName>
    <definedName name="NS_mGES_V5_V1">#REF!</definedName>
    <definedName name="NS_FAC_V1">'Groupe NS'!$F$4:$F$1000</definedName>
    <definedName name="NS_MRC_V5_V1">#REF!</definedName>
    <definedName name="CT_mGES_V5">#REF!</definedName>
    <definedName name="CT_MAS_V1">'Groupe controle'!$R$4:$R$999</definedName>
    <definedName name="CT_MRC_V2">#REF!</definedName>
    <definedName name="CT_EQ_V1">#REF!</definedName>
    <definedName name="CT_TM10_V4">'Groupe controle'!$J$4:$J$999</definedName>
    <definedName name="NS_MRC3_V5">#REF!</definedName>
    <definedName name="CT_MAS2_V4_V1">#REF!</definedName>
    <definedName name="CT_MRC3_V2">#REF!</definedName>
    <definedName name="NS_MRC3_V3_V1">#REF!</definedName>
    <definedName name="CT_MRC5_V5">#REF!</definedName>
    <definedName name="NS_BAR_V4_V1">#REF!</definedName>
    <definedName name="CT_MRC3_V3">#REF!</definedName>
    <definedName name="NS_MRCm_V2">#REF!</definedName>
    <definedName name="NS_MRCi_V4_V1">#REF!</definedName>
    <definedName name="NS_MRC3_V3">#REF!</definedName>
    <definedName name="NS_MAS0_V2">#REF!</definedName>
    <definedName name="CT_TM6_V4">'Groupe controle'!$M$4:$M$999</definedName>
    <definedName name="NS_MRC_V4">'Groupe NS'!$V$4:$V$1000</definedName>
    <definedName name="NS_TM10_V4">'Groupe NS'!$J$4:$J$1000</definedName>
    <definedName name="CT_MASw_V5_V1">#REF!</definedName>
    <definedName name="NS_TM6_V5">#REF!</definedName>
    <definedName name="NS_MAS_V3">#REF!</definedName>
    <definedName name="NS_MAS2_V1">#REF!</definedName>
    <definedName name="CT_MRCi_V2_V1">#REF!</definedName>
    <definedName name="CT_FAC_V2">#REF!</definedName>
    <definedName name="CT_TM6_V5">#REF!</definedName>
    <definedName name="NS_MAS_V2_V1">#REF!</definedName>
    <definedName name="CT_MRC3_V3_V1">#REF!</definedName>
    <definedName name="NS_MAS0_V3">#REF!</definedName>
    <definedName name="CT_MAS_V5">#REF!</definedName>
    <definedName name="NS_BAR_V4">#REF!</definedName>
    <definedName name="CT_MASM_V1">#REF!</definedName>
    <definedName name="CT_MRCm_V2_V1">#REF!</definedName>
    <definedName name="NS_mGES_V5">#REF!</definedName>
    <definedName name="NS_MAS2_V4">#REF!</definedName>
    <definedName name="NS_MRCm_V3">#REF!</definedName>
    <definedName name="CT_BAR_V4">#REF!</definedName>
    <definedName name="NS_MAS0_V5_V1">#REF!</definedName>
    <definedName name="CT_TUG_V5">#REF!</definedName>
    <definedName name="CT_MRCm_V5">#REF!</definedName>
    <definedName name="NS_MRC5_V4">#REF!</definedName>
    <definedName name="CT_TM10_V4_V1">'Groupe controle'!$K$4:$K$999</definedName>
  </definedNames>
  <calcPr/>
</workbook>
</file>

<file path=xl/sharedStrings.xml><?xml version="1.0" encoding="utf-8"?>
<sst xmlns="http://schemas.openxmlformats.org/spreadsheetml/2006/main" count="1029" uniqueCount="509">
  <si>
    <t>N total</t>
  </si>
  <si>
    <t>Neuroskin</t>
  </si>
  <si>
    <t>Contrôle</t>
  </si>
  <si>
    <t>Endpoint</t>
  </si>
  <si>
    <t>Δ</t>
  </si>
  <si>
    <t>Cliniquement significatif ?</t>
  </si>
  <si>
    <t>Statistiquement significatif</t>
  </si>
  <si>
    <t>Vitesse (10 m)</t>
  </si>
  <si>
    <t>0.16 m/s</t>
  </si>
  <si>
    <t>Oui (1xMCID)</t>
  </si>
  <si>
    <t>Distance (6 min)</t>
  </si>
  <si>
    <t>34.4 m</t>
  </si>
  <si>
    <t>Non (MCID)</t>
  </si>
  <si>
    <t>Équilibre - risque de chute (TUG)</t>
  </si>
  <si>
    <t>2.9 s</t>
  </si>
  <si>
    <t>Oui (3xMDC)</t>
  </si>
  <si>
    <t>Capacité de marche (NFAC)</t>
  </si>
  <si>
    <t>Oui (Ordinal)</t>
  </si>
  <si>
    <t>Spasticité (MAS total)</t>
  </si>
  <si>
    <t>0.45 to 0.73</t>
  </si>
  <si>
    <t>Oui (2xMCID average)</t>
  </si>
  <si>
    <t>Force (MRC total)</t>
  </si>
  <si>
    <t>-</t>
  </si>
  <si>
    <t>10MWT</t>
  </si>
  <si>
    <t>NS</t>
  </si>
  <si>
    <t>CONTROL</t>
  </si>
  <si>
    <t>NS versus CONTROL</t>
  </si>
  <si>
    <t>Visit</t>
  </si>
  <si>
    <t>Named range</t>
  </si>
  <si>
    <t>N</t>
  </si>
  <si>
    <t xml:space="preserve"> Mean</t>
  </si>
  <si>
    <t>SD</t>
  </si>
  <si>
    <t>Median</t>
  </si>
  <si>
    <t>Min</t>
  </si>
  <si>
    <t>Max</t>
  </si>
  <si>
    <t>p-value</t>
  </si>
  <si>
    <t>std error</t>
  </si>
  <si>
    <t>Welch DF</t>
  </si>
  <si>
    <t>95% CI lower</t>
  </si>
  <si>
    <t>95% CI upper</t>
  </si>
  <si>
    <t>95% CI</t>
  </si>
  <si>
    <t>Significance</t>
  </si>
  <si>
    <t>V1</t>
  </si>
  <si>
    <t>NS_TM10_V1</t>
  </si>
  <si>
    <t>CT_TM10_V1</t>
  </si>
  <si>
    <t>V4</t>
  </si>
  <si>
    <t>NS_TM10_V4</t>
  </si>
  <si>
    <t>CT_TM10_V4</t>
  </si>
  <si>
    <t>V4-V1</t>
  </si>
  <si>
    <t>NS_TM10_V4_V1</t>
  </si>
  <si>
    <t>CT_TM10_V4_V1</t>
  </si>
  <si>
    <t>6MWT</t>
  </si>
  <si>
    <t>NS_TM6_V1</t>
  </si>
  <si>
    <t>CT_TM6_V1</t>
  </si>
  <si>
    <t>NS_TM6_V4</t>
  </si>
  <si>
    <t>CT_TM6_V4</t>
  </si>
  <si>
    <t>NS_TM6_V4_V1</t>
  </si>
  <si>
    <t>CT_TM6_V4_V1</t>
  </si>
  <si>
    <t>TUG</t>
  </si>
  <si>
    <t>NS_TUG_V1</t>
  </si>
  <si>
    <t>CT_TUG_V1</t>
  </si>
  <si>
    <t>NS_TUG_V4</t>
  </si>
  <si>
    <t>CT_TUG_V4</t>
  </si>
  <si>
    <t>NS_TUG_V4_V1</t>
  </si>
  <si>
    <t>CT_TUG_V4_V1</t>
  </si>
  <si>
    <t>NFAC</t>
  </si>
  <si>
    <t>Headroom</t>
  </si>
  <si>
    <t>% at max</t>
  </si>
  <si>
    <t>% ≥ 4</t>
  </si>
  <si>
    <t>Median % of ➚ HR</t>
  </si>
  <si>
    <t>Median ΔNFAC [Q1-Q3]</t>
  </si>
  <si>
    <t>Mean ΔNFAC ± SD</t>
  </si>
  <si>
    <t>% improved</t>
  </si>
  <si>
    <t>% stable</t>
  </si>
  <si>
    <t>% worsened</t>
  </si>
  <si>
    <t>% reaching ≥4</t>
  </si>
  <si>
    <t>% reaching 8</t>
  </si>
  <si>
    <t>NS_FAC_V1</t>
  </si>
  <si>
    <t>CT_FAC_V1</t>
  </si>
  <si>
    <t>NS_FAC_V4</t>
  </si>
  <si>
    <t>CT_FAC_V4</t>
  </si>
  <si>
    <t>NS_FAC_V4_V1</t>
  </si>
  <si>
    <t>CT_FAC_V4_V1</t>
  </si>
  <si>
    <t>MAS</t>
  </si>
  <si>
    <t>MAS burden score</t>
  </si>
  <si>
    <t>MAS burden</t>
  </si>
  <si>
    <t xml:space="preserve"> Mean ± SD</t>
  </si>
  <si>
    <t>Median [Q1-Q3]</t>
  </si>
  <si>
    <t>ΔV1 mean ± SD</t>
  </si>
  <si>
    <t>ΔV1 Median [Q1-Q3]</t>
  </si>
  <si>
    <t>NS_MAS_V1</t>
  </si>
  <si>
    <t>CT_MAS_V1</t>
  </si>
  <si>
    <t>NS_MAS_V4</t>
  </si>
  <si>
    <t>CT_MAS_V4</t>
  </si>
  <si>
    <t>V2-V1</t>
  </si>
  <si>
    <t>NS_MAS_V2_V1</t>
  </si>
  <si>
    <t>CT_MAS_V2_V1</t>
  </si>
  <si>
    <t>V3-V1</t>
  </si>
  <si>
    <t>NS_MAS_V3_V1</t>
  </si>
  <si>
    <t>CT_MAS_V3_V1</t>
  </si>
  <si>
    <t>NS_MAS_V4_V1</t>
  </si>
  <si>
    <t>CT_MAS_V4_V1</t>
  </si>
  <si>
    <t>V5-V1</t>
  </si>
  <si>
    <t>NS_MAS_V5_V1</t>
  </si>
  <si>
    <t>CT_MAS_V5_V1</t>
  </si>
  <si>
    <t>NS_MAS0_V1</t>
  </si>
  <si>
    <t>CT_MAS0_V1</t>
  </si>
  <si>
    <t>V2</t>
  </si>
  <si>
    <t>NS_MAS0_V2</t>
  </si>
  <si>
    <t>CT_MAS0_V2</t>
  </si>
  <si>
    <t>V3</t>
  </si>
  <si>
    <t>NS_MAS0_V3</t>
  </si>
  <si>
    <t>CT_MAS0_V3</t>
  </si>
  <si>
    <t>NS_MAS0_V4</t>
  </si>
  <si>
    <t>CT_MAS0_V4</t>
  </si>
  <si>
    <t>V5</t>
  </si>
  <si>
    <t>NS_MAS0_V5</t>
  </si>
  <si>
    <t>CT_MAS0_V5</t>
  </si>
  <si>
    <t>NS_MAS0_V2_V1</t>
  </si>
  <si>
    <t>CT_MAS0_V2_V1</t>
  </si>
  <si>
    <t>NS_MAS0_V3_V1</t>
  </si>
  <si>
    <t>CT_MAS0_V3_V1</t>
  </si>
  <si>
    <t>NS_MAS0_V4_V1</t>
  </si>
  <si>
    <t>CT_MAS0_V4_V1</t>
  </si>
  <si>
    <t>NS_MAS0_V5_V1</t>
  </si>
  <si>
    <t>CT_MAS0_V5_V1</t>
  </si>
  <si>
    <t>NS_MAS2_V1</t>
  </si>
  <si>
    <t>CT_MAS2_V1</t>
  </si>
  <si>
    <t>NS_MAS2_V2</t>
  </si>
  <si>
    <t>CT_MAS2_V2</t>
  </si>
  <si>
    <t>NS_MAS2_V3</t>
  </si>
  <si>
    <t>CT_MAS2_V3</t>
  </si>
  <si>
    <t>NS_MAS2_V4</t>
  </si>
  <si>
    <t>CT_MAS2_V4</t>
  </si>
  <si>
    <t>NS_MAS2_V5</t>
  </si>
  <si>
    <t>CT_MAS2_V5</t>
  </si>
  <si>
    <t>NS_MAS2_V2_V1</t>
  </si>
  <si>
    <t>CT_MAS2_V2_V1</t>
  </si>
  <si>
    <t>NS_MAS2_V3_V1</t>
  </si>
  <si>
    <t>CT_MAS2_V3_V1</t>
  </si>
  <si>
    <t>NS_MAS2_V4_V1</t>
  </si>
  <si>
    <t>CT_MAS2_V4_V1</t>
  </si>
  <si>
    <t>NS_MAS2_V5_V1</t>
  </si>
  <si>
    <t>CT_MAS2_V5_V1</t>
  </si>
  <si>
    <t>NS_MASM_V1</t>
  </si>
  <si>
    <t>CT_MASM_V1</t>
  </si>
  <si>
    <t>NS_MASM_V2</t>
  </si>
  <si>
    <t>CT_MASM_V2</t>
  </si>
  <si>
    <t>NS_MASM_V3</t>
  </si>
  <si>
    <t>CT_MASM_V3</t>
  </si>
  <si>
    <t>NS_MASM_V4</t>
  </si>
  <si>
    <t>CT_MASM_V4</t>
  </si>
  <si>
    <t>NS_MASM_V5</t>
  </si>
  <si>
    <t>CT_MASM_V5</t>
  </si>
  <si>
    <t>NS_MASM_V2_V1</t>
  </si>
  <si>
    <t>CT_MASM_V2_V1</t>
  </si>
  <si>
    <t>NS_MASM_V3_V1</t>
  </si>
  <si>
    <t>CT_MASM_V3_V1</t>
  </si>
  <si>
    <t>NS_MASM_V4_V1</t>
  </si>
  <si>
    <t>CT_MASM_V4_V1</t>
  </si>
  <si>
    <t>NS_MASM_V5_V1</t>
  </si>
  <si>
    <t>CT_MASM_V5_V1</t>
  </si>
  <si>
    <t>NS_MASi_V2_V1</t>
  </si>
  <si>
    <t>CT_MASi_V2_V1</t>
  </si>
  <si>
    <t>NS_MASi_V3_V1</t>
  </si>
  <si>
    <t>CT_MASi_V3_V1</t>
  </si>
  <si>
    <t>NS_MASi_V4_V1</t>
  </si>
  <si>
    <t>CT_MASi_V4_V1</t>
  </si>
  <si>
    <t>NS_MASi_V5_V1</t>
  </si>
  <si>
    <t>CT_MASi_V5_V1</t>
  </si>
  <si>
    <t>NS_MASw_V2_V1</t>
  </si>
  <si>
    <t>CT_MASw_V2_V1</t>
  </si>
  <si>
    <t>NS_MASw_V3_V1</t>
  </si>
  <si>
    <t>CT_MASw_V3_V1</t>
  </si>
  <si>
    <t>NS_MASw_V4_V1</t>
  </si>
  <si>
    <t>CT_MASw_V4_V1</t>
  </si>
  <si>
    <t>NS_MASw_V5_V1</t>
  </si>
  <si>
    <t>CT_MASw_V5_V1</t>
  </si>
  <si>
    <t>MRC</t>
  </si>
  <si>
    <t>MRC total score</t>
  </si>
  <si>
    <t>MRC total</t>
  </si>
  <si>
    <t>NS_MRC_V1</t>
  </si>
  <si>
    <t>CT_MRC_V1</t>
  </si>
  <si>
    <t>NS_MRC_V4</t>
  </si>
  <si>
    <t>CT_MRC_V4</t>
  </si>
  <si>
    <t>NS_MRC_V2_V1</t>
  </si>
  <si>
    <t>CT_MRC_V2_V1</t>
  </si>
  <si>
    <t>NS_MRC_V3_V1</t>
  </si>
  <si>
    <t>CT_MRC_V3_V1</t>
  </si>
  <si>
    <t>NS_MRC_V4_V1</t>
  </si>
  <si>
    <t>CT_MRC_V4_V1</t>
  </si>
  <si>
    <t>NS_MRC_V5_V1</t>
  </si>
  <si>
    <t>CT_MRC_V5_V1</t>
  </si>
  <si>
    <t>NS_MRCi_V2_V1</t>
  </si>
  <si>
    <t>CT_MRCi_V2_V1</t>
  </si>
  <si>
    <t>NS_MRCi_V3_V1</t>
  </si>
  <si>
    <t>CT_MRCi_V3_V1</t>
  </si>
  <si>
    <t>NS_MRCi_V4_V1</t>
  </si>
  <si>
    <t>CT_MRCi_V4_V1</t>
  </si>
  <si>
    <t>NS_MRCi_V5_V1</t>
  </si>
  <si>
    <t>CT_MRCi_V5_V1</t>
  </si>
  <si>
    <t>NS_MRCw_V2_V1</t>
  </si>
  <si>
    <t>CT_MRCw_V2_V1</t>
  </si>
  <si>
    <t>NS_MRCw_V3_V1</t>
  </si>
  <si>
    <t>CT_MRCw_V3_V1</t>
  </si>
  <si>
    <t>NS_MRCw_V4_V1</t>
  </si>
  <si>
    <t>CT_MRCw_V4_V1</t>
  </si>
  <si>
    <t>NS_MRCw_V5_V1</t>
  </si>
  <si>
    <t>CT_MRCw_V5_V1</t>
  </si>
  <si>
    <t>NS_MRC5_V1</t>
  </si>
  <si>
    <t>CT_MRC5_V1</t>
  </si>
  <si>
    <t>NS_MRC5_V2</t>
  </si>
  <si>
    <t>CT_MRC5_V2</t>
  </si>
  <si>
    <t>NS_MRC5_V3</t>
  </si>
  <si>
    <t>CT_MRC5_V3</t>
  </si>
  <si>
    <t>NS_MRC5_V4</t>
  </si>
  <si>
    <t>CT_MRC5_V4</t>
  </si>
  <si>
    <t>NS_MRC5_V5</t>
  </si>
  <si>
    <t>CT_MRC5_V5</t>
  </si>
  <si>
    <t>NS_MRC5_V2_V1</t>
  </si>
  <si>
    <t>CT_MRC5_V2_V1</t>
  </si>
  <si>
    <t>NS_MRC5_V3_V1</t>
  </si>
  <si>
    <t>CT_MRC5_V3_V1</t>
  </si>
  <si>
    <t>NS_MRC5_V4_V1</t>
  </si>
  <si>
    <t>CT_MRC5_V4_V1</t>
  </si>
  <si>
    <t>NS_MRC5_V5_V1</t>
  </si>
  <si>
    <t>CT_MRC5_V5_V1</t>
  </si>
  <si>
    <t>NS_MRC3_V1</t>
  </si>
  <si>
    <t>CT_MRC3_V1</t>
  </si>
  <si>
    <t>NS_MRC3_V2</t>
  </si>
  <si>
    <t>CT_MRC3_V2</t>
  </si>
  <si>
    <t>NS_MRC3_V3</t>
  </si>
  <si>
    <t>CT_MRC3_V3</t>
  </si>
  <si>
    <t>NS_MRC3_V4</t>
  </si>
  <si>
    <t>CT_MRC3_V4</t>
  </si>
  <si>
    <t>NS_MRC3_V5</t>
  </si>
  <si>
    <t>CT_MRC3_V5</t>
  </si>
  <si>
    <t>NS_MRC3_V2_V1</t>
  </si>
  <si>
    <t>CT_MRC3_V2_V1</t>
  </si>
  <si>
    <t>NS_MRC3_V3_V1</t>
  </si>
  <si>
    <t>CT_MRC3_V3_V1</t>
  </si>
  <si>
    <t>NS_MRC3_V4_V1</t>
  </si>
  <si>
    <t>CT_MRC3_V4_V1</t>
  </si>
  <si>
    <t>NS_MRC3_V5_V1</t>
  </si>
  <si>
    <t>CT_MRC3_V5_V1</t>
  </si>
  <si>
    <t>NS_MRCm_V1</t>
  </si>
  <si>
    <t>CT_MRCm_V1</t>
  </si>
  <si>
    <t>NS_MRCm_V2</t>
  </si>
  <si>
    <t>CT_MRCm_V2</t>
  </si>
  <si>
    <t>NS_MRCm_V3</t>
  </si>
  <si>
    <t>CT_MRCm_V3</t>
  </si>
  <si>
    <t>NS_MRCm_V4</t>
  </si>
  <si>
    <t>CT_MRCm_V4</t>
  </si>
  <si>
    <t>NS_MRCm_V5</t>
  </si>
  <si>
    <t>CT_MRCm_V5</t>
  </si>
  <si>
    <t>NS_MRCm_V2_V1</t>
  </si>
  <si>
    <t>CT_MRCm_V2_V1</t>
  </si>
  <si>
    <t>NS_MRCm_V3_V1</t>
  </si>
  <si>
    <t>CT_MRCm_V3_V1</t>
  </si>
  <si>
    <t>NS_MRCm_V4_V1</t>
  </si>
  <si>
    <t>CT_MRCm_V4_V1</t>
  </si>
  <si>
    <t>NS_MRCm_V5_V1</t>
  </si>
  <si>
    <t>CT_MRCm_V5_V1</t>
  </si>
  <si>
    <t>0</t>
  </si>
  <si>
    <t>10MWT (m/s)</t>
  </si>
  <si>
    <t>6MWT (m)</t>
  </si>
  <si>
    <t>TUG (s)</t>
  </si>
  <si>
    <t>Test</t>
  </si>
  <si>
    <t>Sex</t>
  </si>
  <si>
    <t>Age at inclusion</t>
  </si>
  <si>
    <t>Days since stroke</t>
  </si>
  <si>
    <t>Stroke side</t>
  </si>
  <si>
    <t>V4 - V1</t>
  </si>
  <si>
    <t>ID/KEY</t>
  </si>
  <si>
    <t>V1_HEMIPARETIC_SIDE</t>
  </si>
  <si>
    <t>V1_NFAC</t>
  </si>
  <si>
    <t>V1_4_NFAC</t>
  </si>
  <si>
    <t>V1_10MT_SPEED_COMPUTED</t>
  </si>
  <si>
    <t>V1_4_10MT_SPEED_COMPUTED</t>
  </si>
  <si>
    <t>V1_6MWT_DISTANCE</t>
  </si>
  <si>
    <t>V1_4_6MWT_DISTANCE</t>
  </si>
  <si>
    <t>V1_UP-AND-GO_DURÉE</t>
  </si>
  <si>
    <t>V1_4_UP-AND-GO_DURÉE</t>
  </si>
  <si>
    <t>33</t>
  </si>
  <si>
    <t>23</t>
  </si>
  <si>
    <t>34</t>
  </si>
  <si>
    <t>150</t>
  </si>
  <si>
    <t>36</t>
  </si>
  <si>
    <t>1</t>
  </si>
  <si>
    <t>44</t>
  </si>
  <si>
    <t>12</t>
  </si>
  <si>
    <t>14</t>
  </si>
  <si>
    <t>17</t>
  </si>
  <si>
    <t>SUBJECT ID</t>
  </si>
  <si>
    <t>START DATE</t>
  </si>
  <si>
    <t>V0_INCLUSION</t>
  </si>
  <si>
    <t>V1_INCLUSION_DATE_EFFECTED</t>
  </si>
  <si>
    <t>V1_BIRTH_DATE</t>
  </si>
  <si>
    <t>V1_STROKE_ONSET</t>
  </si>
  <si>
    <t>V1_RANDOMISATION_OUTPUT</t>
  </si>
  <si>
    <t>V1_10MT_DURATION</t>
  </si>
  <si>
    <t>V1_HANCHE-DROITE_TEST DES FLÉCHISSEURS (FAIRE UNE EXTENSION PASSIVE DE HANCHE)</t>
  </si>
  <si>
    <t>V1_HANCHE-GAUCHE_TEST DES FLÉCHISSEURS (FAIRE UNE EXTENSION PASSIVE DE HANCHE)</t>
  </si>
  <si>
    <t>V1_HANCHE-DROITE_TEST DES EXTENSEURS (FAIRE UNE FLEXION PASSIVE DE HANCHE)</t>
  </si>
  <si>
    <t>V1_HANCHE-GAUCHE_TEST DES EXTENSEURS (FAIRE UNE FLEXION PASSIVE DE HANCHE)</t>
  </si>
  <si>
    <t>V1_HANCHE-DROITE_TEST DES ADDUCTEURS DE HANCHE (FAIRE UNE ABDUCTION PASSIVE DE HANCHE)</t>
  </si>
  <si>
    <t>V1_HANCHE-GAUCHE_TEST DES ADDUCTEURS DE HANCHE (FAIRE UNE ABDUCTION PASSIVE DE HANCHE)</t>
  </si>
  <si>
    <t>V1_GENOU-DROIT_TEST DES FLÉCHISSEURS (FAIRE UNE EXTENSION PASSIVE DU GENOU)</t>
  </si>
  <si>
    <t>V1_GENOU-GAUCHE_TEST DES FLÉCHISSEURS (FAIRE UNE EXTENSION PASSIVE DU GENOU)</t>
  </si>
  <si>
    <t>V1_GENOU-DROIT_TEST DES EXTENSEURS (FAIRE UNE FLEXION PASSIVE DU GENOU)</t>
  </si>
  <si>
    <t>V1_GENOU-GAUCHE_TEST DES EXTENSEURS (FAIRE UNE FLEXION PASSIVE DU GENOU)</t>
  </si>
  <si>
    <t>V1_CHEVILLE-DROITE_TEST DU TRICEPS SURAL (FAIRE UNE FLEXION DORSALE)</t>
  </si>
  <si>
    <t>V1_CHEVILLE-GAUCHE_TEST DU TRICEPS SURAL (FAIRE UNE FLEXION DORSALE)</t>
  </si>
  <si>
    <t>V1_CHEVILLE-DROITE_TEST DU TIBIAL POSTÉRIEUR (FAIRE UNE ÉVERSION)</t>
  </si>
  <si>
    <t>V1_CHEVILLE-GAUCHE_TEST DU TIBIAL POSTÉRIEUR (FAIRE UNE ÉVERSION)</t>
  </si>
  <si>
    <t>V1_ID_EXAMINER_4</t>
  </si>
  <si>
    <t>V1_MRC_DATE</t>
  </si>
  <si>
    <t>V1_HANCHE-DROITE_FLEXION DE HANCHE</t>
  </si>
  <si>
    <t>V1_HANCHE-GAUCHE_FLEXION DE HANCHE</t>
  </si>
  <si>
    <t>V1_HANCHE-DROITE_EXTENSION DE HANCHE</t>
  </si>
  <si>
    <t>V1_HANCHE-GAUCHE_EXTENSION DE HANCHE</t>
  </si>
  <si>
    <t>V1_HANCHE-DROITE_ABDUCTION DE HANCHE</t>
  </si>
  <si>
    <t>V1_HANCHE-GAUCHE_ABDUCTION DE HANCHE</t>
  </si>
  <si>
    <t>V1_HANCHE-DROITE_ADDUCTION DE HANCHE</t>
  </si>
  <si>
    <t>V1_HANCHE-GAUCHE_ADDUCTION DE HANCHE</t>
  </si>
  <si>
    <t>V1_FORCE-GENOU-DROIT_FLEXION DU GENOU (FORCE DES FLÉCHISSEURS)</t>
  </si>
  <si>
    <t>V1_FORCE-GENOU-GAUCHE_FLEXION DU GENOU (FORCE DES FLÉCHISSEURS)</t>
  </si>
  <si>
    <t>V1_FORCE-GENOU-DROIT_EXTENSION DU GENOU (FORCE DES EXTENSEURS)</t>
  </si>
  <si>
    <t>V1_FORCE-GENOU-GAUCHE_EXTENSION DU GENOU (FORCE DES EXTENSEURS)</t>
  </si>
  <si>
    <t>V1_FORCE-CHEVILLEORTEILS-DROITS_TIBIAL ANTÉRIEUR</t>
  </si>
  <si>
    <t>V1_FORCE-CHEVILLEORTEILS-GAUCHE_TIBIAL ANTÉRIEUR</t>
  </si>
  <si>
    <t>V1_FORCE-CHEVILLEORTEILS-DROITS_TRICEPS SURAL</t>
  </si>
  <si>
    <t>V1_FORCE-CHEVILLEORTEILS-GAUCHE_TRICEPS SURAL</t>
  </si>
  <si>
    <t>V1_FORCE-CHEVILLEORTEILS-DROITS_TIBIAL POSTÉRIEUR</t>
  </si>
  <si>
    <t>V1_FORCE-CHEVILLEORTEILS-GAUCHE_TIBIAL POSTÉRIEUR</t>
  </si>
  <si>
    <t>V1_FORCE-CHEVILLEORTEILS-DROITS_FIBULAIRE</t>
  </si>
  <si>
    <t>V1_FORCE-CHEVILLEORTEILS-GAUCHE_FIBULAIRE</t>
  </si>
  <si>
    <t>V1_4_10MT_DURATION</t>
  </si>
  <si>
    <t>V1_4_ID_EXAMINER_3</t>
  </si>
  <si>
    <t>V1_4_MAS_DATE</t>
  </si>
  <si>
    <t>V1_4_HANCHE-DROITE_1_TEST DES FLÉCHISSEURS (FAIRE UNE EXTENSION PASSIVE DE HANCHE)</t>
  </si>
  <si>
    <t>V1_4_HANCHE-GAUCHE_1_TEST DES FLÉCHISSEURS (FAIRE UNE EXTENSION PASSIVE DE HANCHE)</t>
  </si>
  <si>
    <t>V1_4_HANCHE-DROITE_1_TEST DES EXTENSEURS (FAIRE UNE FLEXION PASSIVE DE HANCHE)</t>
  </si>
  <si>
    <t>V1_4_HANCHE-GAUCHE_1_TEST DES EXTENSEURS (FAIRE UNE FLEXION PASSIVE DE HANCHE)</t>
  </si>
  <si>
    <t>V1_4_HANCHE-DROITE_1_TEST DES ADDUCTEURS DE HANCHE (FAIRE UNE ABDUCTION PASSIVE DE HANCHE)</t>
  </si>
  <si>
    <t>V1_4_HANCHE-GAUCHE_1_TEST DES ADDUCTEURS DE HANCHE (FAIRE UNE ABDUCTION PASSIVE DE HANCHE)</t>
  </si>
  <si>
    <t>V1_4_GENOU-DROIT_TEST DES FLÉCHISSEURS (FAIRE UNE EXTENSION PASSIVE DU GENOU)</t>
  </si>
  <si>
    <t>V1_4_GENOU-GAUCHE_TEST DES FLÉCHISSEURS (FAIRE UNE EXTENSION PASSIVE DU GENOU)</t>
  </si>
  <si>
    <t>V1_4_GENOU-DROIT_TEST DES EXTENSEURS (FAIRE UNE FLEXION PASSIVE DU GENOU)</t>
  </si>
  <si>
    <t>V1_4_GENOU-GAUCHE_TEST DES EXTENSEURS (FAIRE UNE FLEXION PASSIVE DU GENOU)</t>
  </si>
  <si>
    <t>V1_4_CHEVILLE-DROITE_TEST DU TRICEPS SURAL (FAIRE UNE FLEXION DORSALE)</t>
  </si>
  <si>
    <t>V1_4_CHEVILLE-GAUCHE_TEST DU TRICEPS SURAL (FAIRE UNE FLEXION DORSALE)</t>
  </si>
  <si>
    <t>V1_4_CHEVILLE-DROITE_TEST DU TIBIAL POSTÉRIEUR (FAIRE UNE ÉVERSION)</t>
  </si>
  <si>
    <t>V1_4_CHEVILLE-GAUCHE_TEST DU TIBIAL POSTÉRIEUR (FAIRE UNE ÉVERSION)</t>
  </si>
  <si>
    <t>V1_4_ID_EXAMINER_4</t>
  </si>
  <si>
    <t>V1_4_MRC_DATE</t>
  </si>
  <si>
    <t>V1_4_HANCHE-DROITE_2_FLEXION DE HANCHE</t>
  </si>
  <si>
    <t>V1_4_HANCHE-GAUCHE_2_FLEXION DE HANCHE</t>
  </si>
  <si>
    <t>V1_4_HANCHE-DROITE_2_EXTENSION DE HANCHE</t>
  </si>
  <si>
    <t>V1_4_HANCHE-GAUCHE_2_EXTENSION DE HANCHE</t>
  </si>
  <si>
    <t>V1_4_HANCHE-DROITE_2_ABDUCTION DE HANCHE</t>
  </si>
  <si>
    <t>V1_4_HANCHE-GAUCHE_2_ABDUCTION DE HANCHE</t>
  </si>
  <si>
    <t>V1_4_HANCHE-DROITE_2_ADDUCTION DE HANCHE</t>
  </si>
  <si>
    <t>V1_4_HANCHE-GAUCHE_2_ADDUCTION DE HANCHE</t>
  </si>
  <si>
    <t>V1_4_FORCE-GENOU-DROIT_FLEXION DU GENOU (FORCE DES FLÉCHISSEURS)</t>
  </si>
  <si>
    <t>V1_4_FORCE-GENOU-GAUCHE_FLEXION DU GENOU (FORCE DES FLÉCHISSEURS)</t>
  </si>
  <si>
    <t>V1_4_FORCE-GENOU-DROIT_EXTENSION DU GENOU (FORCE DES EXTENSEURS)</t>
  </si>
  <si>
    <t>V1_4_FORCE-GENOU-GAUCHE_EXTENSION DU GENOU (FORCE DES EXTENSEURS)</t>
  </si>
  <si>
    <t>V1_4_FORCE-CHEVILLEORTEILS-DROITS_TIBIAL ANTÉRIEUR</t>
  </si>
  <si>
    <t>V1_4_FORCE-CHEVILLEORTEILS-GAUCHE_TIBIAL ANTÉRIEUR</t>
  </si>
  <si>
    <t>V1_4_FORCE-CHEVILLEORTEILS-DROITS_TRICEPS SURAL</t>
  </si>
  <si>
    <t>V1_4_FORCE-CHEVILLEORTEILS-GAUCHE_TRICEPS SURAL</t>
  </si>
  <si>
    <t>V1_4_FORCE-CHEVILLEORTEILS-DROITS_TIBIAL POSTÉRIEUR</t>
  </si>
  <si>
    <t>V1_4_FORCE-CHEVILLEORTEILS-GAUCHE_TIBIAL POSTÉRIEUR</t>
  </si>
  <si>
    <t>V1_4_FORCE-CHEVILLEORTEILS-DROITS_FIBULAIRE</t>
  </si>
  <si>
    <t>V1_4_FORCE-CHEVILLEORTEILS-GAUCHE_FIBULAIRE</t>
  </si>
  <si>
    <t>A l’issue de la visite de pré-sélection, le patient peut-il être inclus dans l'essai ?</t>
  </si>
  <si>
    <t>Date de réalisation de la visite d'inclusion</t>
  </si>
  <si>
    <t>Date de naissance :</t>
  </si>
  <si>
    <t>Date de l'AVC</t>
  </si>
  <si>
    <t>Coté hémiparétique</t>
  </si>
  <si>
    <t>Résultat de la randomisation</t>
  </si>
  <si>
    <t>Temps</t>
  </si>
  <si>
    <t>Vitesse de marche</t>
  </si>
  <si>
    <t>Distance parcourue</t>
  </si>
  <si>
    <t>Up &amp; Go</t>
  </si>
  <si>
    <t>Capacité de marche</t>
  </si>
  <si>
    <t>Hanche Droite</t>
  </si>
  <si>
    <t>Hanche Gauche</t>
  </si>
  <si>
    <t>Genou droit</t>
  </si>
  <si>
    <t>Genou gauche</t>
  </si>
  <si>
    <t>Cheville droite</t>
  </si>
  <si>
    <t>Cheville gauche</t>
  </si>
  <si>
    <t>Initiales opérateur/trice</t>
  </si>
  <si>
    <t>Date de réalisation</t>
  </si>
  <si>
    <t>Force Genou droit</t>
  </si>
  <si>
    <t>Force Genou gauche</t>
  </si>
  <si>
    <t>Force cheville/orteils droits</t>
  </si>
  <si>
    <t>Force cheville/orteils gauche</t>
  </si>
  <si>
    <t>01_BD</t>
  </si>
  <si>
    <t>6/11/2023</t>
  </si>
  <si>
    <t>05/1968</t>
  </si>
  <si>
    <t>26</t>
  </si>
  <si>
    <t>98</t>
  </si>
  <si>
    <t>19</t>
  </si>
  <si>
    <t>4</t>
  </si>
  <si>
    <t>136</t>
  </si>
  <si>
    <t>9</t>
  </si>
  <si>
    <t>6</t>
  </si>
  <si>
    <t>02_KS</t>
  </si>
  <si>
    <t>9/11/2023</t>
  </si>
  <si>
    <t>07/1960</t>
  </si>
  <si>
    <t>13.1</t>
  </si>
  <si>
    <t>274</t>
  </si>
  <si>
    <t>13.7</t>
  </si>
  <si>
    <t>5</t>
  </si>
  <si>
    <t>7</t>
  </si>
  <si>
    <t>429</t>
  </si>
  <si>
    <t>5.8</t>
  </si>
  <si>
    <t>8</t>
  </si>
  <si>
    <t>03_BZ</t>
  </si>
  <si>
    <t>16/11/2023</t>
  </si>
  <si>
    <t>?/1967</t>
  </si>
  <si>
    <t>24</t>
  </si>
  <si>
    <t>172</t>
  </si>
  <si>
    <t>16</t>
  </si>
  <si>
    <t>18</t>
  </si>
  <si>
    <t>355</t>
  </si>
  <si>
    <t>6.7</t>
  </si>
  <si>
    <t>04_DZ</t>
  </si>
  <si>
    <t>05_MT</t>
  </si>
  <si>
    <t>6/2/2024</t>
  </si>
  <si>
    <t>01/1983</t>
  </si>
  <si>
    <t>32</t>
  </si>
  <si>
    <t>95</t>
  </si>
  <si>
    <t>3</t>
  </si>
  <si>
    <t>20.8</t>
  </si>
  <si>
    <t>128</t>
  </si>
  <si>
    <t>30.1</t>
  </si>
  <si>
    <t>06_CV</t>
  </si>
  <si>
    <t>27/02/2024</t>
  </si>
  <si>
    <t>7/1976</t>
  </si>
  <si>
    <t>94</t>
  </si>
  <si>
    <t>39</t>
  </si>
  <si>
    <t>411</t>
  </si>
  <si>
    <t>8.3</t>
  </si>
  <si>
    <t>07_NM</t>
  </si>
  <si>
    <t>04/01/2024</t>
  </si>
  <si>
    <t>01/1952</t>
  </si>
  <si>
    <t>24.4</t>
  </si>
  <si>
    <t>77</t>
  </si>
  <si>
    <t>28</t>
  </si>
  <si>
    <t>19.8</t>
  </si>
  <si>
    <t>126</t>
  </si>
  <si>
    <t>08_DZ</t>
  </si>
  <si>
    <t>20/02/2024</t>
  </si>
  <si>
    <t>7/1947</t>
  </si>
  <si>
    <t>16.6</t>
  </si>
  <si>
    <t>187</t>
  </si>
  <si>
    <t>11.5</t>
  </si>
  <si>
    <t>210</t>
  </si>
  <si>
    <t>10.4</t>
  </si>
  <si>
    <t>09_DM</t>
  </si>
  <si>
    <t>03/04/2024</t>
  </si>
  <si>
    <t>7/1981</t>
  </si>
  <si>
    <t>178</t>
  </si>
  <si>
    <t>2</t>
  </si>
  <si>
    <t>480</t>
  </si>
  <si>
    <t>7.2</t>
  </si>
  <si>
    <t>10_KI</t>
  </si>
  <si>
    <t>21/02/2024</t>
  </si>
  <si>
    <t>9/1956</t>
  </si>
  <si>
    <t>10.8</t>
  </si>
  <si>
    <t>108</t>
  </si>
  <si>
    <t>20</t>
  </si>
  <si>
    <t>11</t>
  </si>
  <si>
    <t>234</t>
  </si>
  <si>
    <t>11_LJ</t>
  </si>
  <si>
    <t>11/03/2024</t>
  </si>
  <si>
    <t>9/1955</t>
  </si>
  <si>
    <t>102</t>
  </si>
  <si>
    <t>31</t>
  </si>
  <si>
    <t>15</t>
  </si>
  <si>
    <t>228</t>
  </si>
  <si>
    <t>12_DM</t>
  </si>
  <si>
    <t>10/03/2025</t>
  </si>
  <si>
    <t>10.03.1960</t>
  </si>
  <si>
    <t>33.1</t>
  </si>
  <si>
    <t>147</t>
  </si>
  <si>
    <t>27.7</t>
  </si>
  <si>
    <t>17.24</t>
  </si>
  <si>
    <t>264</t>
  </si>
  <si>
    <t>13_GP</t>
  </si>
  <si>
    <t>02/04/2025</t>
  </si>
  <si>
    <t>06.05.1980</t>
  </si>
  <si>
    <t>47</t>
  </si>
  <si>
    <t>252</t>
  </si>
  <si>
    <t>17.8</t>
  </si>
  <si>
    <t>9.09</t>
  </si>
  <si>
    <t>285</t>
  </si>
  <si>
    <t>12.36</t>
  </si>
  <si>
    <t>14_SS</t>
  </si>
  <si>
    <t>23.06</t>
  </si>
  <si>
    <t>132</t>
  </si>
  <si>
    <t>41.47</t>
  </si>
  <si>
    <t>15_SS</t>
  </si>
  <si>
    <t>14.82</t>
  </si>
  <si>
    <t>NT</t>
  </si>
  <si>
    <t>29.5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</si>
</sst>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quot;m/s&quot;;-0.00 &quot;m/s&quot;;0.00 &quot;m/s&quot;"/>
    <numFmt numFmtId="165" formatCode="+0.00 &quot;m&quot;;-0.00 &quot;m&quot;;0.00 &quot;m&quot;"/>
    <numFmt numFmtId="166" formatCode="+0.00 &quot;s&quot;;-0.00 &quot;s&quot;;0.00 &quot;s&quot;"/>
    <numFmt numFmtId="167" formatCode="+0.00;-0.00;0.00"/>
  </numFmts>
  <fonts count="15">
    <font>
      <sz val="10.0"/>
      <color rgb="FF000000"/>
      <name val="Arial"/>
      <scheme val="minor"/>
    </font>
    <font>
      <b/>
      <sz val="19.0"/>
      <color theme="1"/>
      <name val="Arial"/>
      <scheme val="minor"/>
    </font>
    <font>
      <sz val="19.0"/>
      <color theme="1"/>
      <name val="Arial"/>
      <scheme val="minor"/>
    </font>
    <font>
      <sz val="13.0"/>
      <color theme="1"/>
      <name val="Arial"/>
      <scheme val="minor"/>
    </font>
    <font>
      <b/>
      <color theme="1"/>
      <name val="Arial"/>
      <scheme val="minor"/>
    </font>
    <font>
      <sz val="16.0"/>
      <color theme="1"/>
      <name val="Arial"/>
      <scheme val="minor"/>
    </font>
    <font>
      <b/>
      <sz val="13.0"/>
      <color theme="1"/>
      <name val="Arial"/>
      <scheme val="minor"/>
    </font>
    <font>
      <b/>
      <sz val="12.0"/>
      <color theme="1"/>
      <name val="Arial"/>
      <scheme val="minor"/>
    </font>
    <font>
      <b/>
      <sz val="11.0"/>
      <color theme="1"/>
      <name val="Arial"/>
      <scheme val="minor"/>
    </font>
    <font>
      <sz val="12.0"/>
      <color theme="1"/>
      <name val="Arial"/>
      <scheme val="minor"/>
    </font>
    <font>
      <color theme="1"/>
      <name val="Arial"/>
      <scheme val="minor"/>
    </font>
    <font>
      <sz val="11.0"/>
      <color theme="1"/>
      <name val="Arial"/>
      <scheme val="minor"/>
    </font>
    <font>
      <b/>
      <color theme="1"/>
      <name val="Arial"/>
    </font>
    <font>
      <i/>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3" numFmtId="9" xfId="0" applyAlignment="1" applyFont="1" applyNumberFormat="1">
      <alignment horizontal="center" readingOrder="0"/>
    </xf>
    <xf borderId="0" fillId="0" fontId="2" numFmtId="0" xfId="0" applyFont="1"/>
    <xf borderId="0" fillId="0" fontId="1"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0" fontId="5" numFmtId="0" xfId="0" applyAlignment="1" applyFont="1">
      <alignment horizontal="center"/>
    </xf>
    <xf borderId="0" fillId="0" fontId="3" numFmtId="9" xfId="0" applyAlignment="1" applyFont="1" applyNumberFormat="1">
      <alignment horizontal="center"/>
    </xf>
    <xf borderId="0" fillId="0" fontId="3" numFmtId="0" xfId="0" applyFont="1"/>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left" readingOrder="0"/>
    </xf>
    <xf borderId="0" fillId="0" fontId="6" numFmtId="164" xfId="0" applyAlignment="1" applyFont="1" applyNumberFormat="1">
      <alignment horizontal="center"/>
    </xf>
    <xf borderId="0" fillId="0" fontId="7" numFmtId="0" xfId="0" applyAlignment="1" applyFont="1">
      <alignment horizontal="center" readingOrder="0"/>
    </xf>
    <xf borderId="0" fillId="0" fontId="4" numFmtId="0" xfId="0" applyAlignment="1" applyFont="1">
      <alignment readingOrder="0"/>
    </xf>
    <xf borderId="0" fillId="0" fontId="8" numFmtId="0" xfId="0" applyAlignment="1" applyFont="1">
      <alignment horizontal="left"/>
    </xf>
    <xf borderId="0" fillId="0" fontId="4" numFmtId="0" xfId="0" applyFont="1"/>
    <xf borderId="0" fillId="0" fontId="6" numFmtId="165" xfId="0" applyAlignment="1" applyFont="1" applyNumberFormat="1">
      <alignment horizontal="center"/>
    </xf>
    <xf borderId="0" fillId="0" fontId="3" numFmtId="0" xfId="0" applyAlignment="1" applyFont="1">
      <alignment readingOrder="0"/>
    </xf>
    <xf borderId="0" fillId="0" fontId="3" numFmtId="166" xfId="0" applyAlignment="1" applyFont="1" applyNumberFormat="1">
      <alignment horizontal="center"/>
    </xf>
    <xf borderId="0" fillId="0" fontId="9" numFmtId="0" xfId="0" applyAlignment="1" applyFont="1">
      <alignment horizontal="center" readingOrder="0"/>
    </xf>
    <xf borderId="0" fillId="0" fontId="10" numFmtId="0" xfId="0" applyAlignment="1" applyFont="1">
      <alignment readingOrder="0"/>
    </xf>
    <xf borderId="0" fillId="0" fontId="11" numFmtId="0" xfId="0" applyAlignment="1" applyFont="1">
      <alignment horizontal="left"/>
    </xf>
    <xf borderId="0" fillId="0" fontId="3" numFmtId="167" xfId="0" applyAlignment="1" applyFont="1" applyNumberFormat="1">
      <alignment horizontal="center"/>
    </xf>
    <xf borderId="0" fillId="0" fontId="11" numFmtId="0" xfId="0" applyFont="1"/>
    <xf borderId="0" fillId="0" fontId="2" numFmtId="0" xfId="0" applyAlignment="1" applyFont="1">
      <alignment readingOrder="0"/>
    </xf>
    <xf borderId="0" fillId="0" fontId="4" numFmtId="0" xfId="0" applyAlignment="1" applyFont="1">
      <alignment horizontal="left" readingOrder="0"/>
    </xf>
    <xf borderId="0" fillId="0" fontId="10" numFmtId="0" xfId="0" applyAlignment="1" applyFont="1">
      <alignment horizontal="center" readingOrder="0"/>
    </xf>
    <xf borderId="0" fillId="0" fontId="10" numFmtId="4" xfId="0" applyAlignment="1" applyFont="1" applyNumberFormat="1">
      <alignment horizontal="right"/>
    </xf>
    <xf borderId="0" fillId="0" fontId="10" numFmtId="4" xfId="0" applyFont="1" applyNumberFormat="1"/>
    <xf borderId="0" fillId="0" fontId="4" numFmtId="4" xfId="0" applyAlignment="1" applyFont="1" applyNumberFormat="1">
      <alignment horizontal="right"/>
    </xf>
    <xf borderId="0" fillId="0" fontId="4" numFmtId="4" xfId="0" applyFont="1" applyNumberFormat="1"/>
    <xf borderId="0" fillId="0" fontId="10" numFmtId="0" xfId="0" applyAlignment="1" applyFont="1">
      <alignment horizontal="center"/>
    </xf>
    <xf borderId="0" fillId="0" fontId="10" numFmtId="10" xfId="0" applyFont="1" applyNumberFormat="1"/>
    <xf borderId="0" fillId="0" fontId="4" numFmtId="10" xfId="0" applyFont="1" applyNumberFormat="1"/>
    <xf borderId="0" fillId="0" fontId="10" numFmtId="0" xfId="0" applyFont="1"/>
    <xf borderId="0" fillId="0" fontId="12" numFmtId="0" xfId="0" applyAlignment="1" applyFont="1">
      <alignment horizontal="center" readingOrder="0" vertical="bottom"/>
    </xf>
    <xf borderId="0" fillId="0" fontId="10" numFmtId="49" xfId="0" applyAlignment="1" applyFont="1" applyNumberFormat="1">
      <alignment readingOrder="0"/>
    </xf>
    <xf borderId="0" fillId="0" fontId="4" numFmtId="49" xfId="0" applyAlignment="1" applyFont="1" applyNumberFormat="1">
      <alignment horizontal="center" readingOrder="0"/>
    </xf>
    <xf borderId="0" fillId="0" fontId="13" numFmtId="0" xfId="0" applyAlignment="1" applyFont="1">
      <alignment readingOrder="0"/>
    </xf>
    <xf borderId="0" fillId="0" fontId="13" numFmtId="49" xfId="0" applyAlignment="1" applyFont="1" applyNumberFormat="1">
      <alignment horizontal="left" readingOrder="0"/>
    </xf>
    <xf borderId="0" fillId="0" fontId="10" numFmtId="49" xfId="0" applyAlignment="1" applyFont="1" applyNumberFormat="1">
      <alignment horizontal="left" readingOrder="0"/>
    </xf>
    <xf borderId="0" fillId="0" fontId="13" numFmtId="49" xfId="0" applyAlignment="1" applyFont="1" applyNumberFormat="1">
      <alignment readingOrder="0"/>
    </xf>
    <xf borderId="0" fillId="0" fontId="13" numFmtId="49" xfId="0" applyFont="1" applyNumberFormat="1"/>
    <xf borderId="0" fillId="0" fontId="10" numFmtId="49" xfId="0" applyFont="1" applyNumberFormat="1"/>
    <xf borderId="0" fillId="0" fontId="10" numFmtId="3" xfId="0" applyAlignment="1" applyFont="1" applyNumberFormat="1">
      <alignment readingOrder="0"/>
    </xf>
    <xf borderId="0" fillId="0" fontId="10" numFmtId="3" xfId="0" applyFont="1" applyNumberFormat="1"/>
    <xf borderId="0" fillId="0" fontId="13" numFmtId="0" xfId="0" applyFont="1"/>
    <xf borderId="0" fillId="0" fontId="10" numFmtId="49" xfId="0" applyAlignment="1" applyFont="1" applyNumberFormat="1">
      <alignment horizontal="right"/>
    </xf>
    <xf borderId="0" fillId="0" fontId="14" numFmtId="49" xfId="0" applyAlignment="1" applyFont="1" applyNumberFormat="1">
      <alignment vertical="bottom"/>
    </xf>
    <xf borderId="0" fillId="0" fontId="10" numFmtId="49" xfId="0" applyAlignment="1" applyFont="1" applyNumberFormat="1">
      <alignment horizontal="left"/>
    </xf>
    <xf borderId="0" fillId="0" fontId="10" numFmtId="49" xfId="0" applyAlignment="1" applyFont="1" applyNumberFormat="1">
      <alignment horizontal="right" readingOrder="0"/>
    </xf>
    <xf borderId="0" fillId="0" fontId="14" numFmtId="49" xfId="0" applyAlignment="1" applyFont="1" applyNumberFormat="1">
      <alignment horizontal="right" readingOrder="0" vertical="bottom"/>
    </xf>
    <xf borderId="0" fillId="0" fontId="14" numFmtId="49" xfId="0" applyAlignment="1" applyFont="1" applyNumberFormat="1">
      <alignment horizontal="right" vertical="bottom"/>
    </xf>
  </cellXfs>
  <cellStyles count="1">
    <cellStyle xfId="0" name="Normal" builtinId="0"/>
  </cellStyles>
  <dxfs count="3">
    <dxf>
      <font>
        <color rgb="FF6AA84F"/>
      </font>
      <fill>
        <patternFill patternType="none"/>
      </fill>
      <border/>
    </dxf>
    <dxf>
      <font>
        <color rgb="FFE06666"/>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5" width="18.88"/>
    <col customWidth="1" min="6" max="6" width="37.63"/>
  </cols>
  <sheetData>
    <row r="1">
      <c r="A1" s="1" t="s">
        <v>0</v>
      </c>
      <c r="B1" s="2">
        <f>countif(Data!C:C,1)</f>
        <v>14</v>
      </c>
      <c r="C1" s="3">
        <f>B1/20</f>
        <v>0.7</v>
      </c>
      <c r="D1" s="3"/>
      <c r="E1" s="4"/>
      <c r="F1" s="1"/>
      <c r="G1" s="5"/>
      <c r="H1" s="4"/>
      <c r="I1" s="6"/>
      <c r="J1" s="6"/>
      <c r="K1" s="6"/>
      <c r="L1" s="6"/>
      <c r="M1" s="6"/>
      <c r="N1" s="6"/>
      <c r="O1" s="6"/>
      <c r="P1" s="6"/>
      <c r="Q1" s="6"/>
      <c r="R1" s="6"/>
      <c r="S1" s="6"/>
      <c r="T1" s="6"/>
      <c r="U1" s="6"/>
      <c r="V1" s="6"/>
      <c r="W1" s="6"/>
    </row>
    <row r="2">
      <c r="A2" s="7" t="s">
        <v>1</v>
      </c>
      <c r="B2" s="8">
        <f>COUNTIFS(Data!C:C,1,Data!H:H,0)</f>
        <v>7</v>
      </c>
      <c r="C2" s="9"/>
      <c r="D2" s="9"/>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row>
    <row r="3">
      <c r="A3" s="7" t="s">
        <v>2</v>
      </c>
      <c r="B3" s="8">
        <f>COUNTIFS(Data!C:C,1,Data!H:H,1)</f>
        <v>7</v>
      </c>
      <c r="C3" s="9"/>
      <c r="D3" s="9"/>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row>
    <row r="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row>
    <row r="5">
      <c r="A5" s="11" t="s">
        <v>3</v>
      </c>
      <c r="B5" s="12" t="s">
        <v>4</v>
      </c>
      <c r="C5" s="13" t="s">
        <v>5</v>
      </c>
      <c r="E5" s="13" t="s">
        <v>6</v>
      </c>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row>
    <row r="6">
      <c r="A6" s="11" t="s">
        <v>7</v>
      </c>
      <c r="B6" s="14">
        <f>Stats!P5</f>
        <v>0.1719972906</v>
      </c>
      <c r="C6" s="15" t="s">
        <v>8</v>
      </c>
      <c r="D6" s="16" t="s">
        <v>9</v>
      </c>
      <c r="E6" s="17" t="str">
        <f>IF(LEFT(Stats!W5,2)="No","Non","Oui")</f>
        <v>Non</v>
      </c>
      <c r="F6" s="18"/>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row>
    <row r="7">
      <c r="A7" s="11" t="s">
        <v>10</v>
      </c>
      <c r="B7" s="19">
        <f>Stats!P11</f>
        <v>8.371428571</v>
      </c>
      <c r="C7" s="15" t="s">
        <v>11</v>
      </c>
      <c r="D7" s="16" t="s">
        <v>12</v>
      </c>
      <c r="E7" s="17" t="str">
        <f>IF(LEFT(Stats!W11,2)="No","Non","Oui")</f>
        <v>Non</v>
      </c>
      <c r="F7" s="18"/>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row>
    <row r="8">
      <c r="A8" s="20" t="s">
        <v>13</v>
      </c>
      <c r="B8" s="21">
        <f>Stats!P17</f>
        <v>-9.068571429</v>
      </c>
      <c r="C8" s="22" t="s">
        <v>14</v>
      </c>
      <c r="D8" s="23" t="s">
        <v>15</v>
      </c>
      <c r="E8" s="24" t="str">
        <f>IF(LEFT(Stats!W17,2)="No","Non","Oui")</f>
        <v>Non</v>
      </c>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row>
    <row r="9">
      <c r="A9" s="20" t="s">
        <v>16</v>
      </c>
      <c r="B9" s="25">
        <f>Stats!AL24</f>
        <v>1.057142857</v>
      </c>
      <c r="C9" s="22">
        <v>1.0</v>
      </c>
      <c r="D9" s="23" t="s">
        <v>17</v>
      </c>
      <c r="E9" s="24" t="str">
        <f>IF(LEFT(Stats!AN24,2)="No","Non","Oui")</f>
        <v>Non</v>
      </c>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row>
    <row r="10">
      <c r="A10" s="20" t="s">
        <v>18</v>
      </c>
      <c r="B10" s="25">
        <f>Stats!V32</f>
        <v>-1</v>
      </c>
      <c r="C10" s="22" t="s">
        <v>19</v>
      </c>
      <c r="D10" s="23" t="s">
        <v>20</v>
      </c>
      <c r="E10" s="26" t="str">
        <f>IF(LEFT(Stats!X32,2)="No","Non","Oui")</f>
        <v>Non</v>
      </c>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row>
    <row r="11">
      <c r="A11" s="20" t="s">
        <v>21</v>
      </c>
      <c r="B11" s="25">
        <f>Stats!X77</f>
        <v>0.6</v>
      </c>
      <c r="C11" s="22" t="s">
        <v>22</v>
      </c>
      <c r="D11" s="23" t="s">
        <v>22</v>
      </c>
      <c r="E11" s="26" t="str">
        <f>IF(LEFT(Stats!Z77,2)="No","Non","Oui")</f>
        <v>Non</v>
      </c>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row>
    <row r="1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row>
    <row r="14">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row>
  </sheetData>
  <conditionalFormatting sqref="B6:B7 B9 B11">
    <cfRule type="cellIs" dxfId="0" priority="1" operator="greaterThan">
      <formula>0</formula>
    </cfRule>
  </conditionalFormatting>
  <conditionalFormatting sqref="B8 B10">
    <cfRule type="cellIs" dxfId="0" priority="2" operator="lessThan">
      <formula>0</formula>
    </cfRule>
  </conditionalFormatting>
  <conditionalFormatting sqref="B6:B7 B9 B11">
    <cfRule type="cellIs" dxfId="1" priority="3" operator="lessThan">
      <formula>0</formula>
    </cfRule>
  </conditionalFormatting>
  <conditionalFormatting sqref="B8 B10">
    <cfRule type="cellIs" dxfId="1" priority="4" operator="greaterThan">
      <formula>0</formula>
    </cfRule>
  </conditionalFormatting>
  <conditionalFormatting sqref="B8 B10">
    <cfRule type="cellIs" dxfId="2" priority="5" operator="less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2.63"/>
    <col customWidth="1" min="2" max="2" width="14.38"/>
    <col customWidth="1" min="3" max="3" width="4.25"/>
    <col customWidth="1" min="4" max="8" width="12.63"/>
    <col customWidth="1" min="9" max="9" width="14.38"/>
    <col customWidth="1" min="10" max="15" width="12.63"/>
    <col customWidth="1" min="23" max="23" width="12.63"/>
  </cols>
  <sheetData>
    <row r="1">
      <c r="A1" s="27" t="s">
        <v>23</v>
      </c>
      <c r="B1" s="6" t="s">
        <v>24</v>
      </c>
      <c r="I1" s="6" t="s">
        <v>25</v>
      </c>
      <c r="P1" s="6" t="s">
        <v>26</v>
      </c>
    </row>
    <row r="2">
      <c r="A2" s="28" t="s">
        <v>27</v>
      </c>
      <c r="B2" s="16" t="s">
        <v>28</v>
      </c>
      <c r="C2" s="6" t="s">
        <v>29</v>
      </c>
      <c r="D2" s="28" t="s">
        <v>30</v>
      </c>
      <c r="E2" s="28" t="s">
        <v>31</v>
      </c>
      <c r="F2" s="28" t="s">
        <v>32</v>
      </c>
      <c r="G2" s="16" t="s">
        <v>33</v>
      </c>
      <c r="H2" s="16" t="s">
        <v>34</v>
      </c>
      <c r="I2" s="16" t="s">
        <v>28</v>
      </c>
      <c r="J2" s="16" t="s">
        <v>29</v>
      </c>
      <c r="K2" s="28" t="s">
        <v>30</v>
      </c>
      <c r="L2" s="28" t="s">
        <v>31</v>
      </c>
      <c r="M2" s="28" t="s">
        <v>32</v>
      </c>
      <c r="N2" s="16" t="s">
        <v>33</v>
      </c>
      <c r="O2" s="16" t="s">
        <v>34</v>
      </c>
      <c r="P2" s="16" t="s">
        <v>4</v>
      </c>
      <c r="Q2" s="6" t="s">
        <v>35</v>
      </c>
      <c r="R2" s="6" t="s">
        <v>36</v>
      </c>
      <c r="S2" s="6" t="s">
        <v>37</v>
      </c>
      <c r="T2" s="6" t="s">
        <v>38</v>
      </c>
      <c r="U2" s="6" t="s">
        <v>39</v>
      </c>
      <c r="V2" s="6" t="s">
        <v>40</v>
      </c>
      <c r="W2" s="16" t="s">
        <v>41</v>
      </c>
    </row>
    <row r="3">
      <c r="A3" s="23" t="s">
        <v>42</v>
      </c>
      <c r="B3" s="23" t="s">
        <v>43</v>
      </c>
      <c r="C3" s="29">
        <f>IFERROR(__xludf.DUMMYFUNCTION("SUMPRODUCT(--REGEXMATCH(TO_TEXT(INDIRECT(B3)), ""^\s*-?\d+(\.\d+)?\s*$""))"),7.0)</f>
        <v>7</v>
      </c>
      <c r="D3" s="30">
        <f t="shared" ref="D3:D5" si="1">AVERAGE(INDIRECT(B3))</f>
        <v>0.4210824495</v>
      </c>
      <c r="E3" s="30">
        <f t="shared" ref="E3:E5" si="2">STDEV(INDIRECT(B3))</f>
        <v>0.185258674</v>
      </c>
      <c r="F3" s="30">
        <f t="shared" ref="F3:F5" si="3">MEDIAN(INDIRECT(B3))</f>
        <v>0.3846153846</v>
      </c>
      <c r="G3" s="31">
        <f t="shared" ref="G3:G5" si="4">MIN(INDIRECT(B3))</f>
        <v>0.2127659574</v>
      </c>
      <c r="H3" s="31">
        <f t="shared" ref="H3:H5" si="5">MAX(INDIRECT(B3))</f>
        <v>0.7633587786</v>
      </c>
      <c r="I3" s="23" t="s">
        <v>44</v>
      </c>
      <c r="J3" s="23">
        <f>IFERROR(__xludf.DUMMYFUNCTION("SUMPRODUCT(--REGEXMATCH(TO_TEXT(INDIRECT(I3)), ""^\s*-?\d+(\.\d+)?\s*$""))"),5.0)</f>
        <v>5</v>
      </c>
      <c r="K3" s="30">
        <f t="shared" ref="K3:K5" si="6">AVERAGE(INDIRECT(I3))</f>
        <v>0.5639163773</v>
      </c>
      <c r="L3" s="30">
        <f t="shared" ref="L3:L5" si="7">STDEV(INDIRECT(I3))</f>
        <v>0.2522719813</v>
      </c>
      <c r="M3" s="30">
        <f t="shared" ref="M3:M5" si="8">MEDIAN(INDIRECT(I3))</f>
        <v>0.6024096386</v>
      </c>
      <c r="N3" s="31">
        <f t="shared" ref="N3:N5" si="9">MIN(INDIRECT(I3))</f>
        <v>0.2564102564</v>
      </c>
      <c r="O3" s="31">
        <f t="shared" ref="O3:O5" si="10">MAX(INDIRECT(I3))</f>
        <v>0.9259259259</v>
      </c>
      <c r="P3" s="23" t="s">
        <v>22</v>
      </c>
      <c r="Q3" s="23" t="s">
        <v>22</v>
      </c>
      <c r="R3" s="23"/>
      <c r="S3" s="23"/>
      <c r="T3" s="23"/>
      <c r="U3" s="23"/>
      <c r="V3" s="23"/>
      <c r="W3" s="23" t="s">
        <v>22</v>
      </c>
    </row>
    <row r="4">
      <c r="A4" s="23" t="s">
        <v>45</v>
      </c>
      <c r="B4" s="23" t="s">
        <v>46</v>
      </c>
      <c r="C4" s="29">
        <f>IFERROR(__xludf.DUMMYFUNCTION("SUMPRODUCT(--REGEXMATCH(TO_TEXT(INDIRECT(B4)), ""^\s*-?\d+(\.\d+)?\s*$""))"),7.0)</f>
        <v>7</v>
      </c>
      <c r="D4" s="30">
        <f t="shared" si="1"/>
        <v>0.8897694233</v>
      </c>
      <c r="E4" s="30">
        <f t="shared" si="2"/>
        <v>0.3747021663</v>
      </c>
      <c r="F4" s="30">
        <f t="shared" si="3"/>
        <v>0.8333333333</v>
      </c>
      <c r="G4" s="31">
        <f t="shared" si="4"/>
        <v>0.4807692308</v>
      </c>
      <c r="H4" s="31">
        <f t="shared" si="5"/>
        <v>1.428571429</v>
      </c>
      <c r="I4" s="23" t="s">
        <v>47</v>
      </c>
      <c r="J4" s="23">
        <f>IFERROR(__xludf.DUMMYFUNCTION("SUMPRODUCT(--REGEXMATCH(TO_TEXT(INDIRECT(I4)), ""^\s*-?\d+(\.\d+)?\s*$""))"),5.0)</f>
        <v>5</v>
      </c>
      <c r="K4" s="30">
        <f t="shared" si="6"/>
        <v>0.8606060606</v>
      </c>
      <c r="L4" s="30">
        <f t="shared" si="7"/>
        <v>0.27013357</v>
      </c>
      <c r="M4" s="30">
        <f t="shared" si="8"/>
        <v>0.9090909091</v>
      </c>
      <c r="N4" s="31">
        <f t="shared" si="9"/>
        <v>0.5050505051</v>
      </c>
      <c r="O4" s="31">
        <f t="shared" si="10"/>
        <v>1.111111111</v>
      </c>
      <c r="P4" s="23" t="s">
        <v>22</v>
      </c>
      <c r="Q4" s="23" t="s">
        <v>22</v>
      </c>
      <c r="R4" s="23"/>
      <c r="S4" s="23"/>
      <c r="T4" s="23"/>
      <c r="U4" s="23"/>
      <c r="V4" s="23"/>
      <c r="W4" s="23" t="s">
        <v>22</v>
      </c>
    </row>
    <row r="5">
      <c r="A5" s="16" t="s">
        <v>48</v>
      </c>
      <c r="B5" s="16" t="s">
        <v>49</v>
      </c>
      <c r="C5" s="6">
        <f>IFERROR(__xludf.DUMMYFUNCTION("SUMPRODUCT(--REGEXMATCH(TO_TEXT(INDIRECT(B5)), ""^\s*-?\d+(\.\d+)?\s*$""))"),7.0)</f>
        <v>7</v>
      </c>
      <c r="D5" s="32">
        <f t="shared" si="1"/>
        <v>0.4686869738</v>
      </c>
      <c r="E5" s="32">
        <f t="shared" si="2"/>
        <v>0.2888674723</v>
      </c>
      <c r="F5" s="32">
        <f t="shared" si="3"/>
        <v>0.4487179487</v>
      </c>
      <c r="G5" s="33">
        <f t="shared" si="4"/>
        <v>0.1388888889</v>
      </c>
      <c r="H5" s="33">
        <f t="shared" si="5"/>
        <v>0.8873440536</v>
      </c>
      <c r="I5" s="16" t="s">
        <v>50</v>
      </c>
      <c r="J5" s="16">
        <f>IFERROR(__xludf.DUMMYFUNCTION("SUMPRODUCT(--REGEXMATCH(TO_TEXT(INDIRECT(I5)), ""^\s*-?\d+(\.\d+)?\s*$""))"),5.0)</f>
        <v>5</v>
      </c>
      <c r="K5" s="32">
        <f t="shared" si="6"/>
        <v>0.2966896833</v>
      </c>
      <c r="L5" s="32">
        <f t="shared" si="7"/>
        <v>0.3742499888</v>
      </c>
      <c r="M5" s="32">
        <f t="shared" si="8"/>
        <v>0.0952144395</v>
      </c>
      <c r="N5" s="33">
        <f t="shared" si="9"/>
        <v>-0.0168350168</v>
      </c>
      <c r="O5" s="33">
        <f t="shared" si="10"/>
        <v>0.8547008546</v>
      </c>
      <c r="P5" s="33">
        <f>D5-K5</f>
        <v>0.1719972906</v>
      </c>
      <c r="Q5" s="33">
        <f>IFERROR(__xludf.DUMMYFUNCTION("T.TEST(
  FILTER(INDIRECT(B5), ISNUMBER(INDIRECT(B5))),
  FILTER(INDIRECT(I5), ISNUMBER(INDIRECT(I5))),
  2,
  3
)"),0.4169423983469147)</f>
        <v>0.4169423983</v>
      </c>
      <c r="R5" s="33">
        <f>IF(AND(C5&gt;=2,J5&gt;=2,ISNUMBER(E5),ISNUMBER(L5)),SQRT(E5^2/C5+L5^2/J5),"")</f>
        <v>0.1998330347</v>
      </c>
      <c r="S5" s="33">
        <f>IF(AND(C5&gt;=2,J5&gt;=2,R5&lt;&gt;"",E5&gt;0,L5&gt;0),((E5^2/C5+L5^2/J5)^2)/(((E5^2/C5)^2)/(C5-1)+((L5^2/J5)^2)/(J5-1)),"")</f>
        <v>7.253081966</v>
      </c>
      <c r="T5" s="33">
        <f>IF(AND(ISNUMBER(P5),ISNUMBER(R5),ISNUMBER(S5)),P5-_xlfn.T.INV.2T(0.05,S5)*R5,"")</f>
        <v>-0.3005327496</v>
      </c>
      <c r="U5" s="33">
        <f>IF(AND(ISNUMBER(P5),ISNUMBER(R5),ISNUMBER(S5)),P5+_xlfn.T.INV.2T(0.05,S5)*R5,"")</f>
        <v>0.6445273307</v>
      </c>
      <c r="V5" s="33" t="str">
        <f>IF(AND(ISNUMBER(T5),ISNUMBER(U5)),"["&amp;TEXT(T5,"0.000")&amp;"; "&amp;TEXT(U5,"0.000")&amp;"]","")</f>
        <v>[-0.301; 0.645]</v>
      </c>
      <c r="W5" s="18" t="str">
        <f>IFS(
  OR(NOT(ISNUMBER(Q5)),NOT(ISNUMBER(T5)),NOT(ISNUMBER(U5))),"",
  OR(Q5&lt;0,Q5&gt;1),"Invalid p-value",
  T5&gt;U5,"Invalid CI",
  AND(Q5&lt;0.05,T5&gt;0,U5&gt;0),"Statistically significant - positive difference",
  AND(Q5&lt;0.05,T5&lt;0,U5&lt;0),"Statistically significant - negative difference",
  AND(Q5&gt;=0.05,T5&lt;=0,U5&gt;=0),"Not statistically significant",
  AND(Q5&lt;0.05,T5&lt;=0,U5&gt;=0),"Inconsistent: p &lt; 0.05 but CI includes 0",
  AND(Q5&gt;=0.05,OR(AND(T5&gt;0,U5&gt;0),AND(T5&lt;0,U5&lt;0))),"Inconsistent: p ≥ 0.05 but CI excludes 0",
  TRUE,"Check values"
)</f>
        <v>Not statistically significant</v>
      </c>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row>
    <row r="6">
      <c r="C6" s="34"/>
    </row>
    <row r="7">
      <c r="A7" s="27" t="s">
        <v>51</v>
      </c>
      <c r="B7" s="6" t="s">
        <v>24</v>
      </c>
      <c r="I7" s="6" t="s">
        <v>25</v>
      </c>
      <c r="P7" s="6" t="s">
        <v>26</v>
      </c>
    </row>
    <row r="8">
      <c r="A8" s="28" t="s">
        <v>27</v>
      </c>
      <c r="B8" s="16" t="s">
        <v>28</v>
      </c>
      <c r="C8" s="6" t="s">
        <v>29</v>
      </c>
      <c r="D8" s="28" t="s">
        <v>30</v>
      </c>
      <c r="E8" s="28" t="s">
        <v>31</v>
      </c>
      <c r="F8" s="28" t="s">
        <v>32</v>
      </c>
      <c r="G8" s="16" t="s">
        <v>33</v>
      </c>
      <c r="H8" s="16" t="s">
        <v>34</v>
      </c>
      <c r="I8" s="16" t="s">
        <v>28</v>
      </c>
      <c r="J8" s="16" t="s">
        <v>29</v>
      </c>
      <c r="K8" s="28" t="s">
        <v>30</v>
      </c>
      <c r="L8" s="28" t="s">
        <v>31</v>
      </c>
      <c r="M8" s="28" t="s">
        <v>32</v>
      </c>
      <c r="N8" s="16" t="s">
        <v>33</v>
      </c>
      <c r="O8" s="16" t="s">
        <v>34</v>
      </c>
      <c r="P8" s="16" t="s">
        <v>4</v>
      </c>
      <c r="Q8" s="6" t="s">
        <v>35</v>
      </c>
      <c r="R8" s="6" t="s">
        <v>36</v>
      </c>
      <c r="S8" s="6" t="s">
        <v>37</v>
      </c>
      <c r="T8" s="6" t="s">
        <v>38</v>
      </c>
      <c r="U8" s="6" t="s">
        <v>39</v>
      </c>
      <c r="V8" s="6" t="s">
        <v>40</v>
      </c>
      <c r="W8" s="16" t="s">
        <v>41</v>
      </c>
    </row>
    <row r="9">
      <c r="A9" s="23" t="s">
        <v>42</v>
      </c>
      <c r="B9" s="23" t="s">
        <v>52</v>
      </c>
      <c r="C9" s="29">
        <f>IFERROR(__xludf.DUMMYFUNCTION("SUMPRODUCT(--REGEXMATCH(TO_TEXT(INDIRECT(B9)), ""^\s*-?\d+(\.\d+)?\s*$""))"),7.0)</f>
        <v>7</v>
      </c>
      <c r="D9" s="30">
        <f t="shared" ref="D9:D11" si="11">AVERAGE(INDIRECT(B9))</f>
        <v>153.2857143</v>
      </c>
      <c r="E9" s="30">
        <f t="shared" ref="E9:E11" si="12">STDEV(INDIRECT(B9))</f>
        <v>86.63470106</v>
      </c>
      <c r="F9" s="30">
        <f t="shared" ref="F9:F11" si="13">MEDIAN(INDIRECT(B9))</f>
        <v>147</v>
      </c>
      <c r="G9" s="31">
        <f t="shared" ref="G9:G11" si="14">MIN(INDIRECT(B9))</f>
        <v>36</v>
      </c>
      <c r="H9" s="31">
        <f t="shared" ref="H9:H11" si="15">MAX(INDIRECT(B9))</f>
        <v>274</v>
      </c>
      <c r="I9" s="23" t="s">
        <v>53</v>
      </c>
      <c r="J9" s="23">
        <f>IFERROR(__xludf.DUMMYFUNCTION("SUMPRODUCT(--REGEXMATCH(TO_TEXT(INDIRECT(I9)), ""^\s*-?\d+(\.\d+)?\s*$""))"),5.0)</f>
        <v>5</v>
      </c>
      <c r="K9" s="30">
        <f t="shared" ref="K9:K11" si="16">AVERAGE(INDIRECT(I9))</f>
        <v>130.4</v>
      </c>
      <c r="L9" s="30">
        <f t="shared" ref="L9:L11" si="17">STDEV(INDIRECT(I9))</f>
        <v>49.0642436</v>
      </c>
      <c r="M9" s="30">
        <f t="shared" ref="M9:M11" si="18">MEDIAN(INDIRECT(I9))</f>
        <v>108</v>
      </c>
      <c r="N9" s="31">
        <f t="shared" ref="N9:N11" si="19">MIN(INDIRECT(I9))</f>
        <v>77</v>
      </c>
      <c r="O9" s="31">
        <f t="shared" ref="O9:O11" si="20">MAX(INDIRECT(I9))</f>
        <v>187</v>
      </c>
      <c r="P9" s="23" t="s">
        <v>22</v>
      </c>
      <c r="Q9" s="23" t="s">
        <v>22</v>
      </c>
      <c r="R9" s="23"/>
      <c r="S9" s="23"/>
      <c r="T9" s="23"/>
      <c r="U9" s="23"/>
      <c r="V9" s="23"/>
      <c r="W9" s="23" t="s">
        <v>22</v>
      </c>
    </row>
    <row r="10">
      <c r="A10" s="23" t="s">
        <v>45</v>
      </c>
      <c r="B10" s="23" t="s">
        <v>54</v>
      </c>
      <c r="C10" s="29">
        <f>IFERROR(__xludf.DUMMYFUNCTION("SUMPRODUCT(--REGEXMATCH(TO_TEXT(INDIRECT(B10)), ""^\s*-?\d+(\.\d+)?\s*$""))"),7.0)</f>
        <v>7</v>
      </c>
      <c r="D10" s="30">
        <f t="shared" si="11"/>
        <v>286.8571429</v>
      </c>
      <c r="E10" s="30">
        <f t="shared" si="12"/>
        <v>121.640767</v>
      </c>
      <c r="F10" s="30">
        <f t="shared" si="13"/>
        <v>285</v>
      </c>
      <c r="G10" s="31">
        <f t="shared" si="14"/>
        <v>128</v>
      </c>
      <c r="H10" s="31">
        <f t="shared" si="15"/>
        <v>429</v>
      </c>
      <c r="I10" s="23" t="s">
        <v>55</v>
      </c>
      <c r="J10" s="23">
        <f>IFERROR(__xludf.DUMMYFUNCTION("SUMPRODUCT(--REGEXMATCH(TO_TEXT(INDIRECT(I10)), ""^\s*-?\d+(\.\d+)?\s*$""))"),5.0)</f>
        <v>5</v>
      </c>
      <c r="K10" s="30">
        <f t="shared" si="16"/>
        <v>255.6</v>
      </c>
      <c r="L10" s="30">
        <f t="shared" si="17"/>
        <v>132.7207595</v>
      </c>
      <c r="M10" s="30">
        <f t="shared" si="18"/>
        <v>228</v>
      </c>
      <c r="N10" s="31">
        <f t="shared" si="19"/>
        <v>126</v>
      </c>
      <c r="O10" s="31">
        <f t="shared" si="20"/>
        <v>480</v>
      </c>
      <c r="P10" s="23" t="s">
        <v>22</v>
      </c>
      <c r="Q10" s="23" t="s">
        <v>22</v>
      </c>
      <c r="R10" s="23"/>
      <c r="S10" s="23"/>
      <c r="T10" s="23"/>
      <c r="U10" s="23"/>
      <c r="V10" s="23"/>
      <c r="W10" s="23" t="s">
        <v>22</v>
      </c>
    </row>
    <row r="11">
      <c r="A11" s="16" t="s">
        <v>48</v>
      </c>
      <c r="B11" s="16" t="s">
        <v>56</v>
      </c>
      <c r="C11" s="6">
        <f>IFERROR(__xludf.DUMMYFUNCTION("SUMPRODUCT(--REGEXMATCH(TO_TEXT(INDIRECT(B11)), ""^\s*-?\d+(\.\d+)?\s*$""))"),7.0)</f>
        <v>7</v>
      </c>
      <c r="D11" s="32">
        <f t="shared" si="11"/>
        <v>133.5714286</v>
      </c>
      <c r="E11" s="32">
        <f t="shared" si="12"/>
        <v>98.14930318</v>
      </c>
      <c r="F11" s="32">
        <f t="shared" si="13"/>
        <v>117</v>
      </c>
      <c r="G11" s="33">
        <f t="shared" si="14"/>
        <v>33</v>
      </c>
      <c r="H11" s="33">
        <f t="shared" si="15"/>
        <v>317</v>
      </c>
      <c r="I11" s="16" t="s">
        <v>57</v>
      </c>
      <c r="J11" s="16">
        <f>IFERROR(__xludf.DUMMYFUNCTION("SUMPRODUCT(--REGEXMATCH(TO_TEXT(INDIRECT(I11)), ""^\s*-?\d+(\.\d+)?\s*$""))"),5.0)</f>
        <v>5</v>
      </c>
      <c r="K11" s="32">
        <f t="shared" si="16"/>
        <v>125.2</v>
      </c>
      <c r="L11" s="32">
        <f t="shared" si="17"/>
        <v>108.9848613</v>
      </c>
      <c r="M11" s="32">
        <f t="shared" si="18"/>
        <v>126</v>
      </c>
      <c r="N11" s="33">
        <f t="shared" si="19"/>
        <v>23</v>
      </c>
      <c r="O11" s="33">
        <f t="shared" si="20"/>
        <v>302</v>
      </c>
      <c r="P11" s="33">
        <f>D11-K11</f>
        <v>8.371428571</v>
      </c>
      <c r="Q11" s="33">
        <f>IFERROR(__xludf.DUMMYFUNCTION("T.TEST(
  FILTER(INDIRECT(B11), ISNUMBER(INDIRECT(B11))),
  FILTER(INDIRECT(I11), ISNUMBER(INDIRECT(I11))),
  2,
  3
)"),0.8946037886057816)</f>
        <v>0.8946037886</v>
      </c>
      <c r="R11" s="33">
        <f>IF(AND(C11&gt;=2,J11&gt;=2,ISNUMBER(E11),ISNUMBER(L11)),SQRT(E11^2/C11+L11^2/J11),"")</f>
        <v>61.25131569</v>
      </c>
      <c r="S11" s="33">
        <f>IF(AND(C11&gt;=2,J11&gt;=2,R11&lt;&gt;"",E11&gt;0,L11&gt;0),((E11^2/C11+L11^2/J11)^2)/(((E11^2/C11)^2)/(C11-1)+((L11^2/J11)^2)/(J11-1)),"")</f>
        <v>8.152842795</v>
      </c>
      <c r="T11" s="33">
        <f>IF(AND(ISNUMBER(P11),ISNUMBER(R11),ISNUMBER(S11)),P11-_xlfn.T.INV.2T(0.05,S11)*R11,"")</f>
        <v>-132.8743587</v>
      </c>
      <c r="U11" s="33">
        <f>IF(AND(ISNUMBER(P11),ISNUMBER(R11),ISNUMBER(S11)),P11+_xlfn.T.INV.2T(0.05,S11)*R11,"")</f>
        <v>149.6172158</v>
      </c>
      <c r="V11" s="33" t="str">
        <f>IF(AND(ISNUMBER(T11),ISNUMBER(U11)),"["&amp;TEXT(T11,"0.000")&amp;"; "&amp;TEXT(U11,"0.000")&amp;"]","")</f>
        <v>[-132.874; 149.617]</v>
      </c>
      <c r="W11" s="18" t="str">
        <f>IFS(
  OR(NOT(ISNUMBER(Q11)),NOT(ISNUMBER(T11)),NOT(ISNUMBER(U11))),"",
  OR(Q11&lt;0,Q11&gt;1),"Invalid p-value",
  T11&gt;U11,"Invalid CI",
  AND(Q11&lt;0.05,T11&gt;0,U11&gt;0),"Statistically significant - positive difference",
  AND(Q11&lt;0.05,T11&lt;0,U11&lt;0),"Statistically significant - negative difference",
  AND(Q11&gt;=0.05,T11&lt;=0,U11&gt;=0),"Not statistically significant",
  AND(Q11&lt;0.05,T11&lt;=0,U11&gt;=0),"Inconsistent: p &lt; 0.05 but CI includes 0",
  AND(Q11&gt;=0.05,OR(AND(T11&gt;0,U11&gt;0),AND(T11&lt;0,U11&lt;0))),"Inconsistent: p ≥ 0.05 but CI excludes 0",
  TRUE,"Check values"
)</f>
        <v>Not statistically significant</v>
      </c>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row>
    <row r="12">
      <c r="C12" s="34"/>
    </row>
    <row r="13">
      <c r="A13" s="27" t="s">
        <v>58</v>
      </c>
      <c r="B13" s="6" t="s">
        <v>24</v>
      </c>
      <c r="I13" s="6" t="s">
        <v>25</v>
      </c>
      <c r="P13" s="6" t="s">
        <v>26</v>
      </c>
    </row>
    <row r="14">
      <c r="A14" s="28" t="s">
        <v>27</v>
      </c>
      <c r="B14" s="16" t="s">
        <v>28</v>
      </c>
      <c r="C14" s="6" t="s">
        <v>29</v>
      </c>
      <c r="D14" s="28" t="s">
        <v>30</v>
      </c>
      <c r="E14" s="28" t="s">
        <v>31</v>
      </c>
      <c r="F14" s="28" t="s">
        <v>32</v>
      </c>
      <c r="G14" s="16" t="s">
        <v>33</v>
      </c>
      <c r="H14" s="16" t="s">
        <v>34</v>
      </c>
      <c r="I14" s="16" t="s">
        <v>28</v>
      </c>
      <c r="J14" s="16" t="s">
        <v>29</v>
      </c>
      <c r="K14" s="28" t="s">
        <v>30</v>
      </c>
      <c r="L14" s="28" t="s">
        <v>31</v>
      </c>
      <c r="M14" s="28" t="s">
        <v>32</v>
      </c>
      <c r="N14" s="16" t="s">
        <v>33</v>
      </c>
      <c r="O14" s="16" t="s">
        <v>34</v>
      </c>
      <c r="P14" s="16" t="s">
        <v>4</v>
      </c>
      <c r="Q14" s="6" t="s">
        <v>35</v>
      </c>
      <c r="R14" s="6" t="s">
        <v>36</v>
      </c>
      <c r="S14" s="6" t="s">
        <v>37</v>
      </c>
      <c r="T14" s="6" t="s">
        <v>38</v>
      </c>
      <c r="U14" s="6" t="s">
        <v>39</v>
      </c>
      <c r="V14" s="6" t="s">
        <v>40</v>
      </c>
      <c r="W14" s="16" t="s">
        <v>41</v>
      </c>
    </row>
    <row r="15">
      <c r="A15" s="23" t="s">
        <v>42</v>
      </c>
      <c r="B15" s="23" t="s">
        <v>59</v>
      </c>
      <c r="C15" s="29">
        <f>IFERROR(__xludf.DUMMYFUNCTION("SUMPRODUCT(--REGEXMATCH(TO_TEXT(INDIRECT(B15)), ""^\s*-?\d+(\.\d+)?\s*$""))"),7.0)</f>
        <v>7</v>
      </c>
      <c r="D15" s="30">
        <f t="shared" ref="D15:D17" si="21">AVERAGE(INDIRECT(B15))</f>
        <v>32.6</v>
      </c>
      <c r="E15" s="30">
        <f t="shared" ref="E15:E17" si="22">STDEV(INDIRECT(B15))</f>
        <v>28.85452015</v>
      </c>
      <c r="F15" s="30">
        <f t="shared" ref="F15:F17" si="23">MEDIAN(INDIRECT(B15))</f>
        <v>19</v>
      </c>
      <c r="G15" s="31">
        <f t="shared" ref="G15:G17" si="24">MIN(INDIRECT(B15))</f>
        <v>13.7</v>
      </c>
      <c r="H15" s="31">
        <f t="shared" ref="H15:H17" si="25">MAX(INDIRECT(B15))</f>
        <v>95</v>
      </c>
      <c r="I15" s="23" t="s">
        <v>60</v>
      </c>
      <c r="J15" s="23">
        <f>IFERROR(__xludf.DUMMYFUNCTION("SUMPRODUCT(--REGEXMATCH(TO_TEXT(INDIRECT(I15)), ""^\s*-?\d+(\.\d+)?\s*$""))"),5.0)</f>
        <v>5</v>
      </c>
      <c r="K15" s="30">
        <f t="shared" ref="K15:K17" si="26">AVERAGE(INDIRECT(I15))</f>
        <v>21.3</v>
      </c>
      <c r="L15" s="30">
        <f t="shared" ref="L15:L17" si="27">STDEV(INDIRECT(I15))</f>
        <v>8.136338243</v>
      </c>
      <c r="M15" s="30">
        <f t="shared" ref="M15:M17" si="28">MEDIAN(INDIRECT(I15))</f>
        <v>20</v>
      </c>
      <c r="N15" s="31">
        <f t="shared" ref="N15:N17" si="29">MIN(INDIRECT(I15))</f>
        <v>11.5</v>
      </c>
      <c r="O15" s="31">
        <f t="shared" ref="O15:O17" si="30">MAX(INDIRECT(I15))</f>
        <v>31</v>
      </c>
      <c r="P15" s="23" t="s">
        <v>22</v>
      </c>
      <c r="Q15" s="23" t="s">
        <v>22</v>
      </c>
      <c r="R15" s="23"/>
      <c r="S15" s="23"/>
      <c r="T15" s="23"/>
      <c r="U15" s="23"/>
      <c r="V15" s="23"/>
      <c r="W15" s="23" t="s">
        <v>22</v>
      </c>
    </row>
    <row r="16">
      <c r="A16" s="23" t="s">
        <v>45</v>
      </c>
      <c r="B16" s="23" t="s">
        <v>61</v>
      </c>
      <c r="C16" s="29">
        <f>IFERROR(__xludf.DUMMYFUNCTION("SUMPRODUCT(--REGEXMATCH(TO_TEXT(INDIRECT(B16)), ""^\s*-?\d+(\.\d+)?\s*$""))"),7.0)</f>
        <v>7</v>
      </c>
      <c r="D16" s="30">
        <f t="shared" si="21"/>
        <v>13.75142857</v>
      </c>
      <c r="E16" s="30">
        <f t="shared" si="22"/>
        <v>9.482326417</v>
      </c>
      <c r="F16" s="30">
        <f t="shared" si="23"/>
        <v>9</v>
      </c>
      <c r="G16" s="31">
        <f t="shared" si="24"/>
        <v>5.8</v>
      </c>
      <c r="H16" s="31">
        <f t="shared" si="25"/>
        <v>30.1</v>
      </c>
      <c r="I16" s="23" t="s">
        <v>62</v>
      </c>
      <c r="J16" s="23">
        <f>IFERROR(__xludf.DUMMYFUNCTION("SUMPRODUCT(--REGEXMATCH(TO_TEXT(INDIRECT(I16)), ""^\s*-?\d+(\.\d+)?\s*$""))"),5.0)</f>
        <v>5</v>
      </c>
      <c r="K16" s="30">
        <f t="shared" si="26"/>
        <v>11.52</v>
      </c>
      <c r="L16" s="30">
        <f t="shared" si="27"/>
        <v>3.551337776</v>
      </c>
      <c r="M16" s="30">
        <f t="shared" si="28"/>
        <v>11</v>
      </c>
      <c r="N16" s="31">
        <f t="shared" si="29"/>
        <v>7.2</v>
      </c>
      <c r="O16" s="31">
        <f t="shared" si="30"/>
        <v>17</v>
      </c>
      <c r="P16" s="23" t="s">
        <v>22</v>
      </c>
      <c r="Q16" s="23" t="s">
        <v>22</v>
      </c>
      <c r="R16" s="23"/>
      <c r="S16" s="23"/>
      <c r="T16" s="23"/>
      <c r="U16" s="23"/>
      <c r="V16" s="23"/>
      <c r="W16" s="23" t="s">
        <v>22</v>
      </c>
    </row>
    <row r="17">
      <c r="A17" s="16" t="s">
        <v>48</v>
      </c>
      <c r="B17" s="16" t="s">
        <v>63</v>
      </c>
      <c r="C17" s="6">
        <f>IFERROR(__xludf.DUMMYFUNCTION("SUMPRODUCT(--REGEXMATCH(TO_TEXT(INDIRECT(B17)), ""^\s*-?\d+(\.\d+)?\s*$""))"),7.0)</f>
        <v>7</v>
      </c>
      <c r="D17" s="32">
        <f t="shared" si="21"/>
        <v>-18.84857143</v>
      </c>
      <c r="E17" s="32">
        <f t="shared" si="22"/>
        <v>22.21036952</v>
      </c>
      <c r="F17" s="32">
        <f t="shared" si="23"/>
        <v>-9.3</v>
      </c>
      <c r="G17" s="33">
        <f t="shared" si="24"/>
        <v>-64.9</v>
      </c>
      <c r="H17" s="33">
        <f t="shared" si="25"/>
        <v>-3.7</v>
      </c>
      <c r="I17" s="16" t="s">
        <v>64</v>
      </c>
      <c r="J17" s="16">
        <f>IFERROR(__xludf.DUMMYFUNCTION("SUMPRODUCT(--REGEXMATCH(TO_TEXT(INDIRECT(I17)), ""^\s*-?\d+(\.\d+)?\s*$""))"),5.0)</f>
        <v>5</v>
      </c>
      <c r="K17" s="32">
        <f t="shared" si="26"/>
        <v>-9.78</v>
      </c>
      <c r="L17" s="32">
        <f t="shared" si="27"/>
        <v>6.391556931</v>
      </c>
      <c r="M17" s="32">
        <f t="shared" si="28"/>
        <v>-9</v>
      </c>
      <c r="N17" s="33">
        <f t="shared" si="29"/>
        <v>-19</v>
      </c>
      <c r="O17" s="33">
        <f t="shared" si="30"/>
        <v>-1.1</v>
      </c>
      <c r="P17" s="33">
        <f>D17-K17</f>
        <v>-9.068571429</v>
      </c>
      <c r="Q17" s="33">
        <f>IFERROR(__xludf.DUMMYFUNCTION("T.TEST(
  FILTER(INDIRECT(B17), ISNUMBER(INDIRECT(B17))),
  FILTER(INDIRECT(I17), ISNUMBER(INDIRECT(I17))),
  2,
  3
)"),0.33907422531666975)</f>
        <v>0.3390742253</v>
      </c>
      <c r="R17" s="33">
        <f>IF(AND(C17&gt;=2,J17&gt;=2,ISNUMBER(E17),ISNUMBER(L17)),SQRT(E17^2/C17+L17^2/J17),"")</f>
        <v>8.868026953</v>
      </c>
      <c r="S17" s="33">
        <f>IF(AND(C17&gt;=2,J17&gt;=2,R17&lt;&gt;"",E17&gt;0,L17&gt;0),((E17^2/C17+L17^2/J17)^2)/(((E17^2/C17)^2)/(C17-1)+((L17^2/J17)^2)/(J17-1)),"")</f>
        <v>7.324242729</v>
      </c>
      <c r="T17" s="33">
        <f>IF(AND(ISNUMBER(P17),ISNUMBER(R17),ISNUMBER(S17)),P17-_xlfn.T.INV.2T(0.05,S17)*R17,"")</f>
        <v>-30.03812303</v>
      </c>
      <c r="U17" s="33">
        <f>IF(AND(ISNUMBER(P17),ISNUMBER(R17),ISNUMBER(S17)),P17+_xlfn.T.INV.2T(0.05,S17)*R17,"")</f>
        <v>11.90098017</v>
      </c>
      <c r="V17" s="33" t="str">
        <f>IF(AND(ISNUMBER(T17),ISNUMBER(U17)),"["&amp;TEXT(T17,"0.000")&amp;"; "&amp;TEXT(U17,"0.000")&amp;"]","")</f>
        <v>[-30.038; 11.901]</v>
      </c>
      <c r="W17" s="18" t="str">
        <f>IFS(
  OR(NOT(ISNUMBER(Q17)),NOT(ISNUMBER(T17)),NOT(ISNUMBER(U17))),"",
  OR(Q17&lt;0,Q17&gt;1),"Invalid p-value",
  T17&gt;U17,"Invalid CI",
  AND(Q17&lt;0.05,T17&gt;0,U17&gt;0),"Statistically significant - positive difference",
  AND(Q17&lt;0.05,T17&lt;0,U17&lt;0),"Statistically significant - negative difference",
  AND(Q17&gt;=0.05,T17&lt;=0,U17&gt;=0),"Not statistically significant",
  AND(Q17&lt;0.05,T17&lt;=0,U17&gt;=0),"Inconsistent: p &lt; 0.05 but CI includes 0",
  AND(Q17&gt;=0.05,OR(AND(T17&gt;0,U17&gt;0),AND(T17&lt;0,U17&lt;0))),"Inconsistent: p ≥ 0.05 but CI excludes 0",
  TRUE,"Check values"
)</f>
        <v>Not statistically significant</v>
      </c>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row>
    <row r="18">
      <c r="C18" s="34"/>
    </row>
    <row r="19">
      <c r="C19" s="34"/>
    </row>
    <row r="20">
      <c r="A20" s="27" t="s">
        <v>65</v>
      </c>
      <c r="B20" s="6" t="s">
        <v>24</v>
      </c>
      <c r="T20" s="6" t="s">
        <v>25</v>
      </c>
      <c r="AL20" s="6" t="s">
        <v>26</v>
      </c>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row>
    <row r="21">
      <c r="A21" s="28" t="s">
        <v>27</v>
      </c>
      <c r="B21" s="16" t="s">
        <v>28</v>
      </c>
      <c r="C21" s="6" t="s">
        <v>29</v>
      </c>
      <c r="D21" s="28" t="s">
        <v>30</v>
      </c>
      <c r="E21" s="28" t="s">
        <v>31</v>
      </c>
      <c r="F21" s="28" t="s">
        <v>32</v>
      </c>
      <c r="G21" s="16" t="s">
        <v>33</v>
      </c>
      <c r="H21" s="16" t="s">
        <v>34</v>
      </c>
      <c r="I21" s="16" t="s">
        <v>66</v>
      </c>
      <c r="J21" s="16" t="s">
        <v>67</v>
      </c>
      <c r="K21" s="16" t="s">
        <v>68</v>
      </c>
      <c r="L21" s="16" t="s">
        <v>69</v>
      </c>
      <c r="M21" s="16" t="s">
        <v>70</v>
      </c>
      <c r="N21" s="16" t="s">
        <v>71</v>
      </c>
      <c r="O21" s="16" t="s">
        <v>72</v>
      </c>
      <c r="P21" s="16" t="s">
        <v>73</v>
      </c>
      <c r="Q21" s="16" t="s">
        <v>74</v>
      </c>
      <c r="R21" s="16" t="s">
        <v>75</v>
      </c>
      <c r="S21" s="16" t="s">
        <v>76</v>
      </c>
      <c r="T21" s="16" t="s">
        <v>28</v>
      </c>
      <c r="U21" s="16" t="s">
        <v>29</v>
      </c>
      <c r="V21" s="28" t="s">
        <v>30</v>
      </c>
      <c r="W21" s="28" t="s">
        <v>31</v>
      </c>
      <c r="X21" s="28" t="s">
        <v>32</v>
      </c>
      <c r="Y21" s="16" t="s">
        <v>33</v>
      </c>
      <c r="Z21" s="16" t="s">
        <v>34</v>
      </c>
      <c r="AA21" s="16" t="s">
        <v>66</v>
      </c>
      <c r="AB21" s="16" t="s">
        <v>67</v>
      </c>
      <c r="AC21" s="16" t="s">
        <v>68</v>
      </c>
      <c r="AD21" s="16" t="s">
        <v>69</v>
      </c>
      <c r="AE21" s="16" t="s">
        <v>70</v>
      </c>
      <c r="AF21" s="16" t="s">
        <v>71</v>
      </c>
      <c r="AG21" s="16" t="s">
        <v>72</v>
      </c>
      <c r="AH21" s="16" t="s">
        <v>73</v>
      </c>
      <c r="AI21" s="16" t="s">
        <v>74</v>
      </c>
      <c r="AJ21" s="16" t="s">
        <v>75</v>
      </c>
      <c r="AK21" s="16" t="s">
        <v>76</v>
      </c>
      <c r="AL21" s="16" t="s">
        <v>4</v>
      </c>
      <c r="AM21" s="6" t="s">
        <v>35</v>
      </c>
      <c r="AN21" s="16" t="s">
        <v>41</v>
      </c>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row>
    <row r="22">
      <c r="A22" s="23" t="s">
        <v>42</v>
      </c>
      <c r="B22" s="23" t="s">
        <v>77</v>
      </c>
      <c r="C22" s="29">
        <f>IFERROR(__xludf.DUMMYFUNCTION("SUMPRODUCT(--REGEXMATCH(TO_TEXT(INDIRECT(B22)), ""^\s*-?\d+(\.\d+)?\s*$""))"),7.0)</f>
        <v>7</v>
      </c>
      <c r="D22" s="30">
        <f t="shared" ref="D22:D24" si="31">AVERAGE(INDIRECT(B22))</f>
        <v>3.714285714</v>
      </c>
      <c r="E22" s="30">
        <f t="shared" ref="E22:E24" si="32">STDEV(INDIRECT(B22))</f>
        <v>0.9511897312</v>
      </c>
      <c r="F22" s="30">
        <f t="shared" ref="F22:F24" si="33">MEDIAN(INDIRECT(B22))</f>
        <v>3</v>
      </c>
      <c r="G22" s="31">
        <f t="shared" ref="G22:G24" si="34">MIN(INDIRECT(B22))</f>
        <v>3</v>
      </c>
      <c r="H22" s="31">
        <f t="shared" ref="H22:H24" si="35">MAX(INDIRECT(B22))</f>
        <v>5</v>
      </c>
      <c r="I22" s="31">
        <f>IFERROR(__xludf.DUMMYFUNCTION("IFERROR(
  LET(
    r, FILTER(INDIRECT(B22), ISNUMBER(INDIRECT(B22))),
    8-AVERAGE(r)
  ),
  """"
)"),4.285714285714286)</f>
        <v>4.285714286</v>
      </c>
      <c r="J22" s="35" t="str">
        <f>IFERROR(__xludf.DUMMYFUNCTION("IFERROR(
  LET(
    r, FILTER(INDIRECT(B22), ISNUMBER(INDIRECT(B22))),
    atmax, COUNTIF(r, 8),
    total, COUNT(r),
    atmax&amp;""/""&amp;total&amp;"" (""&amp;TEXT(atmax/total, ""0%"")&amp;"")""
  ),
  """"
)"),"0/7 (0%)")</f>
        <v>0/7 (0%)</v>
      </c>
      <c r="K22" s="31" t="str">
        <f>IFERROR(__xludf.DUMMYFUNCTION("IFERROR(
  LET(
    r, FILTER(INDIRECT(B22), ISNUMBER(INDIRECT(B22))),
    independent, COUNTIF(r, ""&gt;=4""),
    total, COUNT(r),
    independent&amp;""/""&amp;total&amp;"" (""&amp;TEXT(independent/total, ""0%"")&amp;"")""
  ),
  """"
)"),"3/7 (43%)")</f>
        <v>3/7 (43%)</v>
      </c>
      <c r="O22" s="23" t="s">
        <v>22</v>
      </c>
      <c r="P22" s="23" t="s">
        <v>22</v>
      </c>
      <c r="Q22" s="23" t="s">
        <v>22</v>
      </c>
      <c r="R22" s="23" t="s">
        <v>22</v>
      </c>
      <c r="S22" s="23" t="s">
        <v>22</v>
      </c>
      <c r="T22" s="23" t="s">
        <v>78</v>
      </c>
      <c r="U22" s="23">
        <f>IFERROR(__xludf.DUMMYFUNCTION("SUMPRODUCT(--REGEXMATCH(TO_TEXT(INDIRECT(T22)), ""^\s*-?\d+(\.\d+)?\s*$""))"),5.0)</f>
        <v>5</v>
      </c>
      <c r="V22" s="30">
        <f t="shared" ref="V22:V24" si="36">AVERAGE(INDIRECT(T22))</f>
        <v>2.8</v>
      </c>
      <c r="W22" s="30">
        <f t="shared" ref="W22:W24" si="37">STDEV(INDIRECT(T22))</f>
        <v>0.8366600265</v>
      </c>
      <c r="X22" s="30">
        <f t="shared" ref="X22:X24" si="38">MEDIAN(INDIRECT(T22))</f>
        <v>3</v>
      </c>
      <c r="Y22" s="31">
        <f t="shared" ref="Y22:Y24" si="39">MIN(INDIRECT(T22))</f>
        <v>2</v>
      </c>
      <c r="Z22" s="31">
        <f t="shared" ref="Z22:Z24" si="40">MAX(INDIRECT(T22))</f>
        <v>4</v>
      </c>
      <c r="AA22" s="31">
        <f>IFERROR(__xludf.DUMMYFUNCTION("IFERROR(
  LET(
    r, FILTER(INDIRECT(T22), ISNUMBER(INDIRECT(T22))),
    8-AVERAGE(r)
  ),
  """"
)"),5.2)</f>
        <v>5.2</v>
      </c>
      <c r="AB22" s="35" t="str">
        <f>IFERROR(__xludf.DUMMYFUNCTION("IFERROR(
  LET(
    r, FILTER(INDIRECT(T22), ISNUMBER(INDIRECT(T22))),
    atmax, COUNTIF(r, 8),
    total, COUNT(r),
    atmax&amp;""/""&amp;total&amp;"" (""&amp;TEXT(atmax/total, ""0%"")&amp;"")""
  ),
  """"
)"),"0/5 (0%)")</f>
        <v>0/5 (0%)</v>
      </c>
      <c r="AC22" s="31" t="str">
        <f>IFERROR(__xludf.DUMMYFUNCTION("IFERROR(
  LET(
    r, FILTER(INDIRECT(T22), ISNUMBER(INDIRECT(T22))),
    independent, COUNTIF(r, ""&gt;=4""),
    total, COUNT(r),
    independent&amp;""/""&amp;total&amp;"" (""&amp;TEXT(independent/total, ""0%"")&amp;"")""
  ),
  """"
)"),"1/5 (20%)")</f>
        <v>1/5 (20%)</v>
      </c>
      <c r="AG22" s="23" t="s">
        <v>22</v>
      </c>
      <c r="AH22" s="23" t="s">
        <v>22</v>
      </c>
      <c r="AI22" s="23" t="s">
        <v>22</v>
      </c>
      <c r="AJ22" s="23" t="s">
        <v>22</v>
      </c>
      <c r="AL22" s="23" t="s">
        <v>22</v>
      </c>
      <c r="AM22" s="23" t="s">
        <v>22</v>
      </c>
      <c r="AN22" s="23" t="s">
        <v>22</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row>
    <row r="23">
      <c r="A23" s="23" t="s">
        <v>45</v>
      </c>
      <c r="B23" s="23" t="s">
        <v>79</v>
      </c>
      <c r="C23" s="29">
        <f>IFERROR(__xludf.DUMMYFUNCTION("SUMPRODUCT(--REGEXMATCH(TO_TEXT(INDIRECT(B23)), ""^\s*-?\d+(\.\d+)?\s*$""))"),7.0)</f>
        <v>7</v>
      </c>
      <c r="D23" s="30">
        <f t="shared" si="31"/>
        <v>6.571428571</v>
      </c>
      <c r="E23" s="30">
        <f t="shared" si="32"/>
        <v>1.397276262</v>
      </c>
      <c r="F23" s="30">
        <f t="shared" si="33"/>
        <v>7</v>
      </c>
      <c r="G23" s="31">
        <f t="shared" si="34"/>
        <v>4</v>
      </c>
      <c r="H23" s="31">
        <f t="shared" si="35"/>
        <v>8</v>
      </c>
      <c r="I23" s="31">
        <f>IFERROR(__xludf.DUMMYFUNCTION("IFERROR(
  LET(
    r, FILTER(INDIRECT(B23), ISNUMBER(INDIRECT(B23))),
    8-AVERAGE(r)
  ),
  """"
)"),1.4285714285714288)</f>
        <v>1.428571429</v>
      </c>
      <c r="J23" s="35" t="str">
        <f>IFERROR(__xludf.DUMMYFUNCTION("IFERROR(
  LET(
    r, FILTER(INDIRECT(B23), ISNUMBER(INDIRECT(B23))),
    atmax, COUNTIF(r, 8),
    total, COUNT(r),
    atmax&amp;""/""&amp;total&amp;"" (""&amp;TEXT(atmax/total, ""0%"")&amp;"")""
  ),
  """"
)"),"2/7 (29%)")</f>
        <v>2/7 (29%)</v>
      </c>
      <c r="K23" s="31" t="str">
        <f>IFERROR(__xludf.DUMMYFUNCTION("IFERROR(
  LET(
    r, FILTER(INDIRECT(B23), ISNUMBER(INDIRECT(B23))),
    independent, COUNTIF(r, ""&gt;=4""),
    total, COUNT(r),
    independent&amp;""/""&amp;total&amp;"" (""&amp;TEXT(independent/total, ""0%"")&amp;"")""
  ),
  """"
)"),"7/7 (100%)")</f>
        <v>7/7 (100%)</v>
      </c>
      <c r="O23" s="23" t="s">
        <v>22</v>
      </c>
      <c r="P23" s="23" t="s">
        <v>22</v>
      </c>
      <c r="Q23" s="23" t="s">
        <v>22</v>
      </c>
      <c r="R23" s="23" t="s">
        <v>22</v>
      </c>
      <c r="S23" s="23" t="s">
        <v>22</v>
      </c>
      <c r="T23" s="23" t="s">
        <v>80</v>
      </c>
      <c r="U23" s="23">
        <f>IFERROR(__xludf.DUMMYFUNCTION("SUMPRODUCT(--REGEXMATCH(TO_TEXT(INDIRECT(T23)), ""^\s*-?\d+(\.\d+)?\s*$""))"),5.0)</f>
        <v>5</v>
      </c>
      <c r="V23" s="30">
        <f t="shared" si="36"/>
        <v>4.6</v>
      </c>
      <c r="W23" s="30">
        <f t="shared" si="37"/>
        <v>0.894427191</v>
      </c>
      <c r="X23" s="30">
        <f t="shared" si="38"/>
        <v>5</v>
      </c>
      <c r="Y23" s="31">
        <f t="shared" si="39"/>
        <v>3</v>
      </c>
      <c r="Z23" s="31">
        <f t="shared" si="40"/>
        <v>5</v>
      </c>
      <c r="AA23" s="31">
        <f>IFERROR(__xludf.DUMMYFUNCTION("IFERROR(
  LET(
    r, FILTER(INDIRECT(T23), ISNUMBER(INDIRECT(T23))),
    8-AVERAGE(r)
  ),
  """"
)"),3.4000000000000004)</f>
        <v>3.4</v>
      </c>
      <c r="AB23" s="35" t="str">
        <f>IFERROR(__xludf.DUMMYFUNCTION("IFERROR(
  LET(
    r, FILTER(INDIRECT(T23), ISNUMBER(INDIRECT(T23))),
    atmax, COUNTIF(r, 8),
    total, COUNT(r),
    atmax&amp;""/""&amp;total&amp;"" (""&amp;TEXT(atmax/total, ""0%"")&amp;"")""
  ),
  """"
)"),"0/5 (0%)")</f>
        <v>0/5 (0%)</v>
      </c>
      <c r="AC23" s="31" t="str">
        <f>IFERROR(__xludf.DUMMYFUNCTION("IFERROR(
  LET(
    r, FILTER(INDIRECT(T23), ISNUMBER(INDIRECT(T23))),
    independent, COUNTIF(r, ""&gt;=4""),
    total, COUNT(r),
    independent&amp;""/""&amp;total&amp;"" (""&amp;TEXT(independent/total, ""0%"")&amp;"")""
  ),
  """"
)"),"4/5 (80%)")</f>
        <v>4/5 (80%)</v>
      </c>
      <c r="AG23" s="23" t="s">
        <v>22</v>
      </c>
      <c r="AH23" s="23" t="s">
        <v>22</v>
      </c>
      <c r="AI23" s="23" t="s">
        <v>22</v>
      </c>
      <c r="AJ23" s="23" t="s">
        <v>22</v>
      </c>
      <c r="AL23" s="23" t="s">
        <v>22</v>
      </c>
      <c r="AM23" s="23" t="s">
        <v>22</v>
      </c>
      <c r="AN23" s="23" t="s">
        <v>22</v>
      </c>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row>
    <row r="24">
      <c r="A24" s="16" t="s">
        <v>48</v>
      </c>
      <c r="B24" s="16" t="s">
        <v>81</v>
      </c>
      <c r="C24" s="6">
        <f>IFERROR(__xludf.DUMMYFUNCTION("SUMPRODUCT(--REGEXMATCH(TO_TEXT(INDIRECT(B24)), ""^\s*-?\d+(\.\d+)?\s*$""))"),7.0)</f>
        <v>7</v>
      </c>
      <c r="D24" s="32">
        <f t="shared" si="31"/>
        <v>2.857142857</v>
      </c>
      <c r="E24" s="32">
        <f t="shared" si="32"/>
        <v>1.069044968</v>
      </c>
      <c r="F24" s="32">
        <f t="shared" si="33"/>
        <v>3</v>
      </c>
      <c r="G24" s="33">
        <f t="shared" si="34"/>
        <v>1</v>
      </c>
      <c r="H24" s="33">
        <f t="shared" si="35"/>
        <v>4</v>
      </c>
      <c r="I24" s="23" t="s">
        <v>22</v>
      </c>
      <c r="J24" s="16" t="s">
        <v>22</v>
      </c>
      <c r="K24" s="23" t="s">
        <v>22</v>
      </c>
      <c r="L24" s="18" t="str">
        <f>IFERROR(__xludf.DUMMYFUNCTION("IFERROR(
  LET(
    base, INDIRECT(B$22),
    follow, INDIRECT(B23),
    ratios, MAP(base, follow, LAMBDA(a, b, IF(AND(ISNUMBER(a), ISNUMBER(b), a&lt;8), (b-a)/(8-a), """"))),
    clean, FILTER(ratios, ISNUMBER(ratios)),
    TEXT(MEDIAN(clean), ""0%"")&amp;"" ["&amp;"""&amp;TEXT(QUARTILE(clean, 1), ""0%"")&amp;""; ""&amp;TEXT(QUARTILE(clean, 3), ""0%"")&amp;""]""
  ),
  """"
)"),"80% [55%; 90%]")</f>
        <v>80% [55%; 90%]</v>
      </c>
      <c r="M24" s="18" t="str">
        <f>IFERROR(__xludf.DUMMYFUNCTION("IFERROR(
  LET(
    delta, FILTER(INDIRECT(B24), ISNUMBER(INDIRECT(B24))),
    TEXT(MEDIAN(delta), ""0"")&amp;"" [""&amp;TEXT(QUARTILE(delta, 1), ""0"")&amp;""; ""&amp;TEXT(QUARTILE(delta, 3), ""0"")&amp;""]""
  ),
  """"
)"),"3 [3; 4]")</f>
        <v>3 [3; 4]</v>
      </c>
      <c r="N24" s="36" t="str">
        <f>IFERROR(__xludf.DUMMYFUNCTION("IFERROR(
  LET(
    delta, FILTER(INDIRECT(B24), ISNUMBER(INDIRECT(B24))),
    n, COUNT(delta),
    IF(
      n&lt;2,
      TEXT(AVERAGE(delta), ""0.0""),
      TEXT(AVERAGE(delta), ""0.0"")&amp;"" ± ""&amp;TEXT(STDEV.S(delta), ""0.0"")
    )
  ),
  """"
)"),"2.9 ± 1.1")</f>
        <v>2.9 ± 1.1</v>
      </c>
      <c r="O24" s="18" t="str">
        <f>IFERROR(__xludf.DUMMYFUNCTION("IFERROR(
  LET(
    r, INDIRECT(B24),
    improved, COUNTIF(r, ""&gt;0""),
    total, COUNT(FILTER(r, ISNUMBER(r))),
    improved&amp;""/""&amp;total&amp;"" (""&amp;TEXT(improved/total, ""0%"")&amp;"")""
  ),
  """"
)"),"7/7 (100%)")</f>
        <v>7/7 (100%)</v>
      </c>
      <c r="P24" s="36" t="str">
        <f>IFERROR(__xludf.DUMMYFUNCTION("IFERROR(
  LET(
    r, INDIRECT(B24),
    stable, COUNTIF(r, 0),
    total, COUNT(FILTER(r, ISNUMBER(r))),
    stable&amp;""/""&amp;total&amp;"" (""&amp;TEXT(stable/total, ""0%"")&amp;"")""
  ),
  """"
)"),"0/7 (0%)")</f>
        <v>0/7 (0%)</v>
      </c>
      <c r="Q24" s="18" t="str">
        <f>IFERROR(__xludf.DUMMYFUNCTION("IFERROR(
  LET(
    r, INDIRECT(B24),
    worsened, COUNTIF(r, ""&lt;0""),
    total, COUNT(FILTER(r, ISNUMBER(r))),
    worsened&amp;""/""&amp;total&amp;"" (""&amp;TEXT(worsened/total, ""0%"")&amp;"")""
  ),
  """"
)"),"0/7 (0%)")</f>
        <v>0/7 (0%)</v>
      </c>
      <c r="R24" s="18" t="str">
        <f t="array" ref="R24">IFERROR(
  LET(
    base, INDIRECT(B$22),
    follow, INDIRECT(B23),
    eligible, SUM(MAP(base, follow, LAMBDA(a, b, IF(AND(ISNUMBER(a), ISNUMBER(b), a&lt;4), 1, 0)))),
    crossed, SUM(MAP(base, follow, LAMBDA(a, b, IF(AND(ISNUMBER(a), ISNUMBER(b), a&lt;4, b&gt;=4), 1, 0)))),
    crossed&amp;"/"&amp;eligible&amp;" ("&amp;TEXT(crossed/eligible, "0%")&amp;")"
  ),
  ""
)</f>
        <v>4/4 (100%)</v>
      </c>
      <c r="S24" s="18" t="str">
        <f t="array" ref="S24">IFERROR(
  LET(
    base, INDIRECT(B$22),
    follow, INDIRECT(B23),
    eligible, SUM(MAP(base, follow, LAMBDA(a, b, IF(AND(ISNUMBER(a), ISNUMBER(b), a&lt;8), 1, 0)))),
    reached, SUM(MAP(base, follow, LAMBDA(a, b, IF(AND(ISNUMBER(a), ISNUMBER(b), a&lt;8, b=8), 1, 0)))),
    IF(
      eligible=0,
      "",
      reached&amp;"/"&amp;eligible&amp;" ("&amp;TEXT(reached/eligible, "0%")&amp;")"
    )
  ),
  ""
)</f>
        <v>2/7 (29%)</v>
      </c>
      <c r="T24" s="16" t="s">
        <v>82</v>
      </c>
      <c r="U24" s="16">
        <f>IFERROR(__xludf.DUMMYFUNCTION("SUMPRODUCT(--REGEXMATCH(TO_TEXT(INDIRECT(T24)), ""^\s*-?\d+(\.\d+)?\s*$""))"),5.0)</f>
        <v>5</v>
      </c>
      <c r="V24" s="32">
        <f t="shared" si="36"/>
        <v>1.8</v>
      </c>
      <c r="W24" s="32">
        <f t="shared" si="37"/>
        <v>1.303840481</v>
      </c>
      <c r="X24" s="32">
        <f t="shared" si="38"/>
        <v>2</v>
      </c>
      <c r="Y24" s="33">
        <f t="shared" si="39"/>
        <v>0</v>
      </c>
      <c r="Z24" s="33">
        <f t="shared" si="40"/>
        <v>3</v>
      </c>
      <c r="AA24" s="23" t="s">
        <v>22</v>
      </c>
      <c r="AB24" s="23" t="s">
        <v>22</v>
      </c>
      <c r="AC24" s="23" t="s">
        <v>22</v>
      </c>
      <c r="AD24" s="18" t="str">
        <f>IFERROR(__xludf.DUMMYFUNCTION("IFERROR(
  LET(
    base, INDIRECT(T$22),
    follow, INDIRECT(T23),
    ratios, MAP(base, follow, LAMBDA(a, b, IF(AND(ISNUMBER(a), ISNUMBER(b), a&lt;8), (b-a)/(8-a), """"))),
    clean, FILTER(ratios, ISNUMBER(ratios)),
    TEXT(MEDIAN(clean), ""0%"")&amp;"" ["&amp;"""&amp;TEXT(QUARTILE(clean, 1), ""0%"")&amp;""; ""&amp;TEXT(QUARTILE(clean, 3), ""0%"")&amp;""]""
  ),
  """"
)"),"40% [25%; 50%]")</f>
        <v>40% [25%; 50%]</v>
      </c>
      <c r="AE24" s="18" t="str">
        <f>IFERROR(__xludf.DUMMYFUNCTION("IFERROR(
  LET(
    delta, FILTER(INDIRECT(T24), ISNUMBER(INDIRECT(T24))),
    TEXT(MEDIAN(delta), ""0"")&amp;"" [""&amp;TEXT(QUARTILE(delta, 1), ""0"")&amp;""; ""&amp;TEXT(QUARTILE(delta, 3), ""0"")&amp;""]""
  ),
  """"
)"),"2 [1; 3]")</f>
        <v>2 [1; 3]</v>
      </c>
      <c r="AF24" s="36" t="str">
        <f>IFERROR(__xludf.DUMMYFUNCTION("IFERROR(
  LET(
    delta, FILTER(INDIRECT(T24), ISNUMBER(INDIRECT(T24))),
    n, COUNT(delta),
    IF(
      n&lt;2,
      TEXT(AVERAGE(delta), ""0.0""),
      TEXT(AVERAGE(delta), ""0.0"")&amp;"" ± ""&amp;TEXT(STDEV.S(delta), ""0.0"")
    )
  ),
  """"
)"),"1.8 ± 1.3")</f>
        <v>1.8 ± 1.3</v>
      </c>
      <c r="AG24" s="18" t="str">
        <f>IFERROR(__xludf.DUMMYFUNCTION("IFERROR(
  LET(
    r, INDIRECT(T24),
    improved, COUNTIF(r, ""&gt;0""),
    total, COUNT(FILTER(r, ISNUMBER(r))),
    improved&amp;""/""&amp;total&amp;"" (""&amp;TEXT(improved/total, ""0%"")&amp;"")""
  ),
  """"
)"),"4/5 (80%)")</f>
        <v>4/5 (80%)</v>
      </c>
      <c r="AH24" s="36" t="str">
        <f>IFERROR(__xludf.DUMMYFUNCTION("IFERROR(
  LET(
    r, INDIRECT(T24),
    stable, COUNTIF(r, 0),
    total, COUNT(FILTER(r, ISNUMBER(r))),
    stable&amp;""/""&amp;total&amp;"" (""&amp;TEXT(stable/total, ""0%"")&amp;"")""
  ),
  """"
)"),"1/5 (20%)")</f>
        <v>1/5 (20%)</v>
      </c>
      <c r="AI24" s="18" t="str">
        <f>IFERROR(__xludf.DUMMYFUNCTION("IFERROR(
  LET(
    r, INDIRECT(T24),
    worsened, COUNTIF(r, ""&lt;0""),
    total, COUNT(FILTER(r, ISNUMBER(r))),
    worsened&amp;""/""&amp;total&amp;"" (""&amp;TEXT(worsened/total, ""0%"")&amp;"")""
  ),
  """"
)"),"0/5 (0%)")</f>
        <v>0/5 (0%)</v>
      </c>
      <c r="AJ24" s="18" t="str">
        <f t="array" ref="AJ24">IFERROR(
  LET(
    base, INDIRECT(B$22),
    follow, INDIRECT(B23),
    eligible, SUM(MAP(base, follow, LAMBDA(a, b, IF(AND(ISNUMBER(a), ISNUMBER(b), a&lt;4), 1, 0)))),
    crossed, SUM(MAP(base, follow, LAMBDA(a, b, IF(AND(ISNUMBER(a), ISNUMBER(b), a&lt;4, b&gt;=4), 1, 0)))),
    crossed&amp;"/"&amp;eligible&amp;" ("&amp;TEXT(crossed/eligible, "0%")&amp;")"
  ),
  ""
)</f>
        <v>4/4 (100%)</v>
      </c>
      <c r="AK24" s="18" t="str">
        <f t="array" ref="AK24">IFERROR(
  LET(
    base, INDIRECT(T$22),
    follow, INDIRECT(T23),
    eligible, SUM(MAP(base, follow, LAMBDA(a, b, IF(AND(ISNUMBER(a), ISNUMBER(b), a&lt;8), 1, 0)))),
    reached, SUM(MAP(base, follow, LAMBDA(a, b, IF(AND(ISNUMBER(a), ISNUMBER(b), a&lt;8, b=8), 1, 0)))),
    IF(
      eligible=0,
      "",
      reached&amp;"/"&amp;eligible&amp;" ("&amp;TEXT(reached/eligible, "0%")&amp;")"
    )
  ),
  ""
)</f>
        <v>0/5 (0%)</v>
      </c>
      <c r="AL24" s="33">
        <f>D24-V24</f>
        <v>1.057142857</v>
      </c>
      <c r="AM24" s="33">
        <f>IFERROR(__xludf.DUMMYFUNCTION("IFERROR(
  LET(
    x, FILTER(INDIRECT(B24), ISNUMBER(INDIRECT(B24))),
    y, FILTER(INDIRECT(T24), ISNUMBER(INDIRECT(T24))),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)"),0.17547644897623726)</f>
        <v>0.175476449</v>
      </c>
      <c r="AN24" s="33" t="str">
        <f>IFERROR(
  IF(
    NOT(ISNUMBER(AM24)),
    "",
    IF(
      OR(AM24&lt;0, AM24&gt;1),
      "Invalid p-value",
      IF(
        AM24&lt;0.001,
        "Approx. statistically significant difference (p &lt; 0.001)",
        IF(
          AM24&lt;0.01,
          "Approx. statistically significant difference (p &lt; 0.01)",
          IF(
            AM24&lt;0.05,
            "Approx. statistically significant difference (p &lt; 0.05)",
            "Not statistically significant"
          )
        )
      )
    )
  ),
  ""
)</f>
        <v>Not statistically significant</v>
      </c>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row>
    <row r="25">
      <c r="C25" s="34"/>
    </row>
    <row r="26">
      <c r="A26" s="37" t="str">
        <f>IFERROR(__xludf.DUMMYFUNCTION("IFERROR(
  LET(
    maxscore, 8,
    threshold, 4,
    basens, INDIRECT(B$22),
    followns, INDIRECT(B$23),
    deltansraw, INDIRECT(B$24),
    basectrl, INDIRECT(T$22),
    followctrl, INDIRECT(T$23),
    deltactrlraw, INDIRECT(T$24),
    pval, AM24,"&amp;"
    deltans, FILTER(deltansraw, ISNUMBER(deltansraw)),
    deltactrl, FILTER(deltactrlraw, ISNUMBER(deltactrlraw)),
    nns, COUNT(deltans),
    nctrl, COUNT(deltactrl),
    meandeltans, AVERAGE(deltans),
    meandeltactrl, AVERAGE(deltactrl),
    sdd"&amp;"eltans, IF(nns&lt;2, """", STDEV(deltans)),
    sddeltactrl, IF(nctrl&lt;2, """", STDEV(deltactrl)),
    diffdelta, meandeltans-meandeltactrl,
    mediandeltans, MEDIAN(deltans),
    qonedeltans, QUARTILE(deltans, 1),
    qthreedeltans, QUARTILE(deltans, 3),
"&amp;"    mediandeltactrl, MEDIAN(deltactrl),
    qonedeltactrl, QUARTILE(deltactrl, 1),
    qthreedeltactrl, QUARTILE(deltactrl, 3),
    headns, maxscore-MEDIAN(FILTER(basens, ISNUMBER(basens))),
    headctrl, maxscore-MEDIAN(FILTER(basectrl, ISNUMBER(basectr"&amp;"l))),
    diffhead, headns-headctrl,
    impns, COUNTIF(deltans, ""&gt;0""),
    stabns, COUNTIF(deltans, 0),
    worsens, COUNTIF(deltans, ""&lt;0""),
    impctrl, COUNTIF(deltactrl, ""&gt;0""),
    stabctrl, COUNTIF(deltactrl, 0),
    worsectrl, COUNTIF(deltac"&amp;"trl, ""&lt;0""),
    maxvone_ns, COUNTIF(FILTER(basens, ISNUMBER(basens)), maxscore),
    maxvfour_ns, COUNTIF(FILTER(followns, ISNUMBER(followns)), maxscore),
    validvone_ns, COUNT(FILTER(basens, ISNUMBER(basens))),
    validvfour_ns, COUNT(FILTER(follow"&amp;"ns, ISNUMBER(followns))),
    maxvone_ctrl, COUNTIF(FILTER(basectrl, ISNUMBER(basectrl)), maxscore),
    maxvfour_ctrl, COUNTIF(FILTER(followctrl, ISNUMBER(followctrl)), maxscore),
    validvone_ctrl, COUNT(FILTER(basectrl, ISNUMBER(basectrl))),
    vali"&amp;"dvfour_ctrl, COUNT(FILTER(followctrl, ISNUMBER(followctrl))),
    independentvone_ns, COUNTIF(FILTER(basens, ISNUMBER(basens)), ""&gt;=""&amp;threshold),
    independentvfour_ns, COUNTIF(FILTER(followns, ISNUMBER(followns)), ""&gt;=""&amp;threshold),
    independentv"&amp;"one_ctrl, COUNTIF(FILTER(basectrl, ISNUMBER(basectrl)), ""&gt;=""&amp;threshold),
    independentvfour_ctrl, COUNTIF(FILTER(followctrl, ISNUMBER(followctrl)), ""&gt;=""&amp;threshold),
    eligibleind_ns, SUM(MAP(basens, followns, LAMBDA(a, b, IF(AND(ISNUMBER(a), ISNU"&amp;"MBER(b), a&lt;threshold), 1, 0)))),
    crossedind_ns, SUM(MAP(basens, followns, LAMBDA(a, b, IF(AND(ISNUMBER(a), ISNUMBER(b), a&lt;threshold, b&gt;=threshold), 1, 0)))),
    eligibleind_ctrl, SUM(MAP(basectrl, followctrl, LAMBDA(a, b, IF(AND(ISNUMBER(a), ISNUMBE"&amp;"R(b), a&lt;threshold), 1, 0)))),
    crossedind_ctrl, SUM(MAP(basectrl, followctrl, LAMBDA(a, b, IF(AND(ISNUMBER(a), ISNUMBER(b), a&lt;threshold, b&gt;=threshold), 1, 0)))),
    eligiblemax_ns, SUM(MAP(basens, followns, LAMBDA(a, b, IF(AND(ISNUMBER(a), ISNUMBER(b"&amp;"), a&lt;maxscore), 1, 0)))),
    reachedmax_ns, SUM(MAP(basens, followns, LAMBDA(a, b, IF(AND(ISNUMBER(a), ISNUMBER(b), a&lt;maxscore, b=maxscore), 1, 0)))),
    eligiblemax_ctrl, SUM(MAP(basectrl, followctrl, LAMBDA(a, b, IF(AND(ISNUMBER(a), ISNUMBER(b), a&lt;ma"&amp;"xscore), 1, 0)))),
    reachedmax_ctrl, SUM(MAP(basectrl, followctrl, LAMBDA(a, b, IF(AND(ISNUMBER(a), ISNUMBER(b), a&lt;maxscore, b=maxscore), 1, 0)))),
    ptxt, IF(
      NOT(ISNUMBER(pval)),
      ""La p-valeur Mann-Whitney approximative n'est pas dispo"&amp;"nible."",
      IF(
        OR(pval&lt;0, pval&gt;1),
        ""La p-valeur Mann-Whitney approximative est invalide."",
        IF(
          pval&lt;0.05,
          ""La différence de ΔNFAC entre les groupes est approximativement statistiquement significative (p "&amp;"= ""&amp;TEXT(pval, ""0.000"")&amp;"")."",
          ""La différence de ΔNFAC entre les groupes n'est pas statistiquement significative selon le test de Mann-Whitney approximatif (p = ""&amp;TEXT(pval, ""0.000"")&amp;"").""
        )
      )
    ),
    ""Analyse NFAC av"&amp;"ec prise en compte du caractère ordinal de l'échelle :""&amp;CHAR(10)&amp;
    ""- Le NFAC est une échelle ordinale de 0 à 8 : une hausse du score indique une amélioration du niveau d'autonomie à la marche.""&amp;CHAR(10)&amp;
    ""- Le changement médian V4-V1 est de """&amp;"&amp;TEXT(mediandeltans, ""0"")&amp;"" [""&amp;TEXT(qonedeltans, ""0"")&amp;""; ""&amp;TEXT(qthreedeltans, ""0"")&amp;""] dans le groupe NS, contre ""&amp;TEXT(mediandeltactrl, ""0"")&amp;"" [""&amp;TEXT(qonedeltactrl, ""0"")&amp;""; ""&amp;TEXT(qthreedeltactrl, ""0"")&amp;""] dans le groupe contrôle."&amp;"""&amp;CHAR(10)&amp;
    ""- À titre descriptif, le changement moyen est de ""&amp;TEXT(meandeltans, ""0.0"")&amp;"" ± ""&amp;IF(nns&lt;2, ""-"", TEXT(sddeltans, ""0.0""))&amp;"" dans le groupe NS et de ""&amp;TEXT(meandeltactrl, ""0.0"")&amp;"" ± ""&amp;IF(nctrl&lt;2, ""-"", TEXT(sddeltactrl, """&amp;"0.0""))&amp;"" dans le groupe contrôle, soit une différence NS - contrôle de ""&amp;TEXT(diffdelta, ""0.0"")&amp;"" niveau(x).""&amp;CHAR(10)&amp;
    ""- Les patients améliorés / stables / aggravés sont : ""&amp;impns&amp;""/""&amp;stabns&amp;""/""&amp;worsens&amp;"" dans le groupe NS, contre ""&amp;i"&amp;"mpctrl&amp;""/""&amp;stabctrl&amp;""/""&amp;worsectrl&amp;"" dans le groupe contrôle.""&amp;CHAR(10)&amp;
    ""- À V1, le nombre de patients au score maximum NFAC 8 était de ""&amp;maxvone_ns&amp;""/""&amp;validvone_ns&amp;"" (""&amp;TEXT(maxvone_ns/validvone_ns, ""0%"")&amp;"") dans le groupe NS et de """&amp;"&amp;maxvone_ctrl&amp;""/""&amp;validvone_ctrl&amp;"" (""&amp;TEXT(maxvone_ctrl/validvone_ctrl, ""0%"")&amp;"") dans le groupe contrôle.""&amp;CHAR(10)&amp;
    ""- À V4, le nombre de patients au score maximum NFAC 8 était de ""&amp;maxvfour_ns&amp;""/""&amp;validvfour_ns&amp;"" (""&amp;TEXT(maxvfour_ns/va"&amp;"lidvfour_ns, ""0%"")&amp;"") dans le groupe NS et de ""&amp;maxvfour_ctrl&amp;""/""&amp;validvfour_ctrl&amp;"" (""&amp;TEXT(maxvfour_ctrl/validvfour_ctrl, ""0%"")&amp;"") dans le groupe contrôle.""&amp;CHAR(10)&amp;
    ""- La marge médiane restante à V1 était de ""&amp;TEXT(headns, ""0.0"")&amp;"""&amp;" niveau(x) dans le groupe NS et de ""&amp;TEXT(headctrl, ""0.0"")&amp;"" niveau(x) dans le groupe contrôle, soit une différence NS - contrôle de ""&amp;TEXT(diffhead, ""0.0"")&amp;"" niveau(x). Cette information sert surtout à repérer un éventuel effet plafond.""&amp;CHAR(10"&amp;")&amp;
    ""- Le nombre de patients avec NFAC ≥4 était de ""&amp;independentvone_ns&amp;""/""&amp;validvone_ns&amp;"" (""&amp;TEXT(independentvone_ns/validvone_ns, ""0%"")&amp;"") à V1 puis ""&amp;independentvfour_ns&amp;""/""&amp;validvfour_ns&amp;"" (""&amp;TEXT(independentvfour_ns/validvfour_ns, """&amp;"0%"")&amp;"") à V4 dans le groupe NS ; dans le groupe contrôle, il était de ""&amp;independentvone_ctrl&amp;""/""&amp;validvone_ctrl&amp;"" (""&amp;TEXT(independentvone_ctrl/validvone_ctrl, ""0%"")&amp;"") à V1 puis ""&amp;independentvfour_ctrl&amp;""/""&amp;validvfour_ctrl&amp;"" (""&amp;TEXT(independ"&amp;"entvfour_ctrl/validvfour_ctrl, ""0%"")&amp;"") à V4.""&amp;CHAR(10)&amp;
    ""- Parmi les patients qui étaient sous le seuil NFAC 4 à V1, ""&amp;IF(eligibleind_ns=0, ""aucun patient n'était éligible dans le groupe NS"", crossedind_ns&amp;""/""&amp;eligibleind_ns&amp;"" (""&amp;TEXT(cro"&amp;"ssedind_ns/eligibleind_ns, ""0%"")&amp;"") ont atteint NFAC ≥4 dans le groupe NS"")&amp;"", contre ""&amp;IF(eligibleind_ctrl=0, ""aucun patient éligible dans le groupe contrôle"", crossedind_ctrl&amp;""/""&amp;eligibleind_ctrl&amp;"" (""&amp;TEXT(crossedind_ctrl/eligibleind_ctrl, "&amp;"""0%"")&amp;"") dans le groupe contrôle"")&amp;"".""&amp;CHAR(10)&amp;
    ""- Parmi les patients qui n'étaient pas déjà à NFAC 8 à V1, ""&amp;IF(eligiblemax_ns=0, ""aucun patient n'était éligible dans le groupe NS"", reachedmax_ns&amp;""/""&amp;eligiblemax_ns&amp;"" (""&amp;TEXT(reachedmax"&amp;"_ns/eligiblemax_ns, ""0%"")&amp;"") ont atteint NFAC 8 dans le groupe NS"")&amp;"", contre ""&amp;IF(eligiblemax_ctrl=0, ""aucun patient éligible dans le groupe contrôle"", reachedmax_ctrl&amp;""/""&amp;eligiblemax_ctrl&amp;"" (""&amp;TEXT(reachedmax_ctrl/eligiblemax_ctrl, ""0%"")&amp;"&amp;""") dans le groupe contrôle"")&amp;"".""&amp;CHAR(10)&amp;
    ""- ""&amp;ptxt&amp;CHAR(10)&amp;
    ""- Interprétation : pour le NFAC, il faut privilégier les changements de catégories, les proportions de patients améliorés, et les passages de seuils fonctionnels comme NFAC ≥4 "&amp;"ou NFAC 8. Le changement moyen est utile comme résumé descriptif, mais il doit être interprété avec prudence car l'échelle est ordinale.""
  ),
  """"
)"),"Analyse NFAC avec prise en compte du caractère ordinal de l'échelle :
- Le NFAC est une échelle ordinale de 0 à 8 : une hausse du score indique une amélioration du niveau d'autonomie à la marche.
- Le changement médian V4-V1 est de 3 [3; 4] dans le groupe"&amp;" NS, contre 2 [1; 3] dans le groupe contrôle.
- À titre descriptif, le changement moyen est de 2.9 ± 1.1 dans le groupe NS et de 1.8 ± 1.3 dans le groupe contrôle, soit une différence NS - contrôle de 1.1 niveau(x).
- Les patients améliorés / stables / ag"&amp;"gravés sont : 7/0/0 dans le groupe NS, contre 4/1/0 dans le groupe contrôle.
- À V1, le nombre de patients au score maximum NFAC 8 était de 0/7 (0%) dans le groupe NS et de 0/5 (0%) dans le groupe contrôle.
- À V4, le nombre de patients au score maximum N"&amp;"FAC 8 était de 2/7 (29%) dans le groupe NS et de 0/5 (0%) dans le groupe contrôle.
- La marge médiane restante à V1 était de 5.0 niveau(x) dans le groupe NS et de 5.0 niveau(x) dans le groupe contrôle, soit une différence NS - contrôle de 0.0 niveau(x). C"&amp;"ette information sert surtout à repérer un éventuel effet plafond.
- Le nombre de patients avec NFAC ≥4 était de 3/7 (43%) à V1 puis 7/7 (100%) à V4 dans le groupe NS ; dans le groupe contrôle, il était de 1/5 (20%) à V1 puis 4/5 (80%) à V4.
- Parmi les p"&amp;"atients qui étaient sous le seuil NFAC 4 à V1, 4/4 (100%) ont atteint NFAC ≥4 dans le groupe NS, contre 3/4 (75%) dans le groupe contrôle.
- Parmi les patients qui n'étaient pas déjà à NFAC 8 à V1, 2/7 (29%) ont atteint NFAC 8 dans le groupe NS, contre 0/"&amp;"5 (0%) dans le groupe contrôle.
- La différence de ΔNFAC entre les groupes n'est pas statistiquement significative selon le test de Mann-Whitney approximatif (p = 0.175).
- Interprétation : pour le NFAC, il faut privilégier les changements de catégories, "&amp;"les proportions de patients améliorés, et les passages de seuils fonctionnels comme NFAC ≥4 ou NFAC 8. Le changement moyen est utile comme résumé descriptif, mais il doit être interprété avec prudence car l'échelle est ordinale.")</f>
        <v>Analyse NFAC avec prise en compte du caractère ordinal de l'échelle :
- Le NFAC est une échelle ordinale de 0 à 8 : une hausse du score indique une amélioration du niveau d'autonomie à la marche.
- Le changement médian V4-V1 est de 3 [3; 4] dans le groupe NS, contre 2 [1; 3] dans le groupe contrôle.
- À titre descriptif, le changement moyen est de 2.9 ± 1.1 dans le groupe NS et de 1.8 ± 1.3 dans le groupe contrôle, soit une différence NS - contrôle de 1.1 niveau(x).
- Les patients améliorés / stables / aggravés sont : 7/0/0 dans le groupe NS, contre 4/1/0 dans le groupe contrôle.
- À V1, le nombre de patients au score maximum NFAC 8 était de 0/7 (0%) dans le groupe NS et de 0/5 (0%) dans le groupe contrôle.
- À V4, le nombre de patients au score maximum NFAC 8 était de 2/7 (29%) dans le groupe NS et de 0/5 (0%) dans le groupe contrôle.
- La marge médiane restante à V1 était de 5.0 niveau(x) dans le groupe NS et de 5.0 niveau(x) dans le groupe contrôle, soit une différence NS - contrôle de 0.0 niveau(x). Cette information sert surtout à repérer un éventuel effet plafond.
- Le nombre de patients avec NFAC ≥4 était de 3/7 (43%) à V1 puis 7/7 (100%) à V4 dans le groupe NS ; dans le groupe contrôle, il était de 1/5 (20%) à V1 puis 4/5 (80%) à V4.
- Parmi les patients qui étaient sous le seuil NFAC 4 à V1, 4/4 (100%) ont atteint NFAC ≥4 dans le groupe NS, contre 3/4 (75%) dans le groupe contrôle.
- Parmi les patients qui n'étaient pas déjà à NFAC 8 à V1, 2/7 (29%) ont atteint NFAC 8 dans le groupe NS, contre 0/5 (0%) dans le groupe contrôle.
- La différence de ΔNFAC entre les groupes n'est pas statistiquement significative selon le test de Mann-Whitney approximatif (p = 0.175).
- Interprétation : pour le NFAC, il faut privilégier les changements de catégories, les proportions de patients améliorés, et les passages de seuils fonctionnels comme NFAC ≥4 ou NFAC 8. Le changement moyen est utile comme résumé descriptif, mais il doit être interprété avec prudence car l'échelle est ordinale.</v>
      </c>
      <c r="C26" s="34"/>
    </row>
    <row r="27">
      <c r="C27" s="34"/>
    </row>
    <row r="28">
      <c r="A28" s="27" t="s">
        <v>83</v>
      </c>
      <c r="B28" s="6" t="s">
        <v>24</v>
      </c>
      <c r="L28" s="6" t="s">
        <v>25</v>
      </c>
      <c r="V28" s="6" t="s">
        <v>26</v>
      </c>
      <c r="Y28" s="6"/>
      <c r="Z28" s="6"/>
      <c r="AA28" s="6"/>
      <c r="AO28" s="6"/>
      <c r="AP28" s="6"/>
      <c r="AQ28" s="6"/>
      <c r="AR28" s="6"/>
      <c r="AS28" s="6"/>
      <c r="AT28" s="6"/>
      <c r="AU28" s="6"/>
      <c r="AV28" s="6"/>
      <c r="AW28" s="6"/>
      <c r="AX28" s="6"/>
      <c r="AY28" s="6"/>
      <c r="AZ28" s="6"/>
      <c r="BA28" s="6"/>
      <c r="BE28" s="6"/>
      <c r="BF28" s="6"/>
      <c r="BG28" s="6"/>
      <c r="BH28" s="6"/>
      <c r="BI28" s="6"/>
      <c r="BJ28" s="6"/>
      <c r="BK28" s="6"/>
      <c r="BL28" s="6"/>
      <c r="BM28" s="6"/>
      <c r="BN28" s="6"/>
      <c r="BO28" s="6"/>
      <c r="BP28" s="6"/>
      <c r="BQ28" s="6"/>
      <c r="BR28" s="6"/>
    </row>
    <row r="29">
      <c r="A29" s="28"/>
      <c r="B29" s="16"/>
      <c r="C29" s="6"/>
      <c r="D29" s="38" t="s">
        <v>84</v>
      </c>
      <c r="L29" s="16"/>
      <c r="M29" s="6"/>
      <c r="N29" s="38" t="s">
        <v>84</v>
      </c>
      <c r="V29" s="38" t="s">
        <v>85</v>
      </c>
      <c r="Y29" s="6"/>
      <c r="Z29" s="6"/>
      <c r="AA29" s="6"/>
      <c r="AO29" s="6"/>
      <c r="AP29" s="6"/>
      <c r="AT29" s="6"/>
      <c r="AX29" s="6"/>
      <c r="BE29" s="38"/>
      <c r="BH29" s="38"/>
      <c r="BK29" s="38"/>
      <c r="BN29" s="38"/>
      <c r="BO29" s="38"/>
      <c r="BP29" s="38"/>
      <c r="BQ29" s="38"/>
      <c r="BR29" s="38"/>
    </row>
    <row r="30">
      <c r="A30" s="28" t="s">
        <v>27</v>
      </c>
      <c r="B30" s="16" t="s">
        <v>28</v>
      </c>
      <c r="C30" s="6" t="s">
        <v>29</v>
      </c>
      <c r="D30" s="28" t="s">
        <v>86</v>
      </c>
      <c r="E30" s="28" t="s">
        <v>87</v>
      </c>
      <c r="F30" s="16" t="s">
        <v>33</v>
      </c>
      <c r="G30" s="16" t="s">
        <v>34</v>
      </c>
      <c r="H30" s="16" t="s">
        <v>88</v>
      </c>
      <c r="I30" s="16" t="s">
        <v>89</v>
      </c>
      <c r="J30" s="16" t="s">
        <v>72</v>
      </c>
      <c r="K30" s="16" t="s">
        <v>74</v>
      </c>
      <c r="L30" s="16" t="s">
        <v>28</v>
      </c>
      <c r="M30" s="6" t="s">
        <v>29</v>
      </c>
      <c r="N30" s="28" t="s">
        <v>86</v>
      </c>
      <c r="O30" s="28" t="s">
        <v>87</v>
      </c>
      <c r="P30" s="16" t="s">
        <v>33</v>
      </c>
      <c r="Q30" s="16" t="s">
        <v>34</v>
      </c>
      <c r="R30" s="16" t="s">
        <v>88</v>
      </c>
      <c r="S30" s="16" t="s">
        <v>89</v>
      </c>
      <c r="T30" s="16" t="s">
        <v>72</v>
      </c>
      <c r="U30" s="16" t="s">
        <v>74</v>
      </c>
      <c r="V30" s="16" t="s">
        <v>4</v>
      </c>
      <c r="W30" s="6" t="s">
        <v>35</v>
      </c>
      <c r="X30" s="16" t="s">
        <v>41</v>
      </c>
      <c r="Y30" s="28"/>
      <c r="Z30" s="16"/>
      <c r="AA30" s="16"/>
      <c r="AO30" s="16"/>
      <c r="AP30" s="28"/>
      <c r="AQ30" s="28"/>
      <c r="AR30" s="16"/>
      <c r="AS30" s="16"/>
      <c r="AT30" s="28"/>
      <c r="AU30" s="28"/>
      <c r="AV30" s="16"/>
      <c r="AW30" s="16"/>
      <c r="AX30" s="28"/>
      <c r="AY30" s="28"/>
      <c r="AZ30" s="16"/>
      <c r="BA30" s="16"/>
      <c r="BE30" s="16"/>
      <c r="BF30" s="6"/>
      <c r="BG30" s="16"/>
      <c r="BH30" s="16"/>
      <c r="BI30" s="6"/>
      <c r="BJ30" s="16"/>
      <c r="BK30" s="16"/>
      <c r="BL30" s="6"/>
      <c r="BM30" s="16"/>
      <c r="BN30" s="16"/>
      <c r="BO30" s="16"/>
      <c r="BP30" s="16"/>
      <c r="BQ30" s="16"/>
      <c r="BR30" s="16"/>
    </row>
    <row r="31">
      <c r="A31" s="23" t="s">
        <v>42</v>
      </c>
      <c r="B31" s="23" t="s">
        <v>90</v>
      </c>
      <c r="C31" s="29">
        <f>IFERROR(__xludf.DUMMYFUNCTION("SUMPRODUCT(--REGEXMATCH(TO_TEXT(INDIRECT(B31)), ""^\s*-?\d+(\.\d+)?\s*$""))"),7.0)</f>
        <v>7</v>
      </c>
      <c r="D31" s="30" t="str">
        <f t="shared" ref="D31:D32" si="41">TEXT(AVERAGE(INDIRECT(B31)), "0.0")&amp;" ± "&amp;TEXT(_xlfn.STDEV.S(INDIRECT(B31)), "0.0")</f>
        <v>2.9 ± 1.6</v>
      </c>
      <c r="E31" s="30" t="str">
        <f t="shared" ref="E31:E32" si="42">TEXT(MEDIAN(INDIRECT(B31)), "0")&amp;" ["&amp;TEXT(QUARTILE(INDIRECT(B31), 1), "0")&amp;"; "&amp;TEXT(QUARTILE(INDIRECT(B31), 3), "0")&amp;"]"</f>
        <v>3 [3; 4]</v>
      </c>
      <c r="F31" s="31">
        <f t="shared" ref="F31:F32" si="43">MIN(INDIRECT(B31))</f>
        <v>0</v>
      </c>
      <c r="G31" s="31">
        <f t="shared" ref="G31:G32" si="44">MAX(INDIRECT(B31))</f>
        <v>5</v>
      </c>
      <c r="H31" s="23" t="s">
        <v>22</v>
      </c>
      <c r="I31" s="23" t="s">
        <v>22</v>
      </c>
      <c r="J31" s="23" t="s">
        <v>22</v>
      </c>
      <c r="K31" s="23" t="s">
        <v>22</v>
      </c>
      <c r="L31" s="23" t="s">
        <v>91</v>
      </c>
      <c r="M31" s="29">
        <f>IFERROR(__xludf.DUMMYFUNCTION("SUMPRODUCT(--REGEXMATCH(TO_TEXT(INDIRECT(L31)), ""^\s*-?\d+(\.\d+)?\s*$""))"),5.0)</f>
        <v>5</v>
      </c>
      <c r="N31" s="30" t="str">
        <f t="shared" ref="N31:N32" si="45">TEXT(AVERAGE(INDIRECT(L31)), "0.0")&amp;" ± "&amp;TEXT(_xlfn.STDEV.S(INDIRECT(L31)), "0.0")</f>
        <v>2.4 ± 3.6</v>
      </c>
      <c r="O31" s="30" t="str">
        <f t="shared" ref="O31:O32" si="46">TEXT(MEDIAN(INDIRECT(L31)), "0")&amp;" ["&amp;TEXT(QUARTILE(INDIRECT(L31), 1), "0")&amp;"; "&amp;TEXT(QUARTILE(INDIRECT(L31), 3), "0")&amp;"]"</f>
        <v>0 [0; 4]</v>
      </c>
      <c r="P31" s="31">
        <f t="shared" ref="P31:P32" si="47">MIN(INDIRECT(L31))</f>
        <v>0</v>
      </c>
      <c r="Q31" s="31">
        <f t="shared" ref="Q31:Q32" si="48">MAX(INDIRECT(L31))</f>
        <v>8</v>
      </c>
      <c r="R31" s="23" t="s">
        <v>22</v>
      </c>
      <c r="S31" s="23" t="s">
        <v>22</v>
      </c>
      <c r="T31" s="23" t="s">
        <v>22</v>
      </c>
      <c r="U31" s="23" t="s">
        <v>22</v>
      </c>
      <c r="V31" s="23" t="s">
        <v>22</v>
      </c>
      <c r="W31" s="23" t="s">
        <v>22</v>
      </c>
      <c r="X31" s="23" t="s">
        <v>22</v>
      </c>
      <c r="AP31" s="31"/>
      <c r="AT31" s="31"/>
      <c r="BN31" s="23"/>
      <c r="BO31" s="23"/>
      <c r="BP31" s="23"/>
      <c r="BQ31" s="23"/>
      <c r="BR31" s="23"/>
    </row>
    <row r="32">
      <c r="A32" s="16" t="s">
        <v>45</v>
      </c>
      <c r="B32" s="16" t="s">
        <v>92</v>
      </c>
      <c r="C32" s="6">
        <f>IFERROR(__xludf.DUMMYFUNCTION("SUMPRODUCT(--REGEXMATCH(TO_TEXT(INDIRECT(B32)), ""^\s*-?\d+(\.\d+)?\s*$""))"),7.0)</f>
        <v>7</v>
      </c>
      <c r="D32" s="32" t="str">
        <f t="shared" si="41"/>
        <v>0.9 ± 1.5</v>
      </c>
      <c r="E32" s="32" t="str">
        <f t="shared" si="42"/>
        <v>0 [0; 2]</v>
      </c>
      <c r="F32" s="33">
        <f t="shared" si="43"/>
        <v>0</v>
      </c>
      <c r="G32" s="33">
        <f t="shared" si="44"/>
        <v>3</v>
      </c>
      <c r="H32" s="36" t="str">
        <f>IFERROR(__xludf.DUMMYFUNCTION("IFERROR(
  LET(
    delta, FILTER(INDIRECT(B35), ISNUMBER(INDIRECT(B35))),
    n, COUNT(delta),
    IF(
      n&lt;2,
      TEXT(AVERAGE(delta), ""0.0""),
      TEXT(AVERAGE(delta), ""0.0"")&amp;"" ± ""&amp;TEXT(STDEV.S(delta), ""0.0"")
    )
  ),
  """"
)"),"-2.0 ± 1.5")</f>
        <v>-2.0 ± 1.5</v>
      </c>
      <c r="I32" s="18" t="str">
        <f>IFERROR(__xludf.DUMMYFUNCTION("IFERROR(
  LET(
    delta, SORT(FILTER(INDIRECT(B35), ISNUMBER(INDIRECT(B35))), 1, TRUE),
    n, COUNT(delta),
    med_obs, INDEX(delta, ROUNDUP(n/2, 0)),
    quart1, INDEX(delta, MAX(1, ROUNDUP(0.25*n, 0))),
    quart3, INDEX(delta, MAX(1, ROUNDUP(0.75*n"&amp;", 0))),
    TEXT(med_obs, ""0"")&amp;"" [""&amp;TEXT(quart1, ""0"")&amp;""; ""&amp;TEXT(quart3, ""0"")&amp;""]""
  ),
  """"
)"),"-2 [-3; 0]")</f>
        <v>-2 [-3; 0]</v>
      </c>
      <c r="J32" s="18" t="str">
        <f>IFERROR(__xludf.DUMMYFUNCTION("IFERROR(
  LET(
    r, INDIRECT(B35),
    worsened, COUNTIF(r, ""&lt;0""),
    total, COUNT(FILTER(r, ISNUMBER(r))),
    worsened&amp;""/""&amp;total&amp;"" (""&amp;TEXT(worsened/total, ""0%"")&amp;"")""
  ),
  """"
)"),"5/7 (71%)")</f>
        <v>5/7 (71%)</v>
      </c>
      <c r="K32" s="18" t="str">
        <f>IFERROR(__xludf.DUMMYFUNCTION("IFERROR(
  LET(
    r, INDIRECT(B35),
    improved, COUNTIF(r, ""&gt;0""),
    total, COUNT(FILTER(r, ISNUMBER(r))),
    improved&amp;""/""&amp;total&amp;"" (""&amp;TEXT(improved/total, ""0%"")&amp;"")""
  ),
  """"
)"),"0/7 (0%)")</f>
        <v>0/7 (0%)</v>
      </c>
      <c r="L32" s="16" t="s">
        <v>93</v>
      </c>
      <c r="M32" s="6">
        <f>IFERROR(__xludf.DUMMYFUNCTION("SUMPRODUCT(--REGEXMATCH(TO_TEXT(INDIRECT(L32)), ""^\s*-?\d+(\.\d+)?\s*$""))"),5.0)</f>
        <v>5</v>
      </c>
      <c r="N32" s="32" t="str">
        <f t="shared" si="45"/>
        <v>1.4 ± 1.9</v>
      </c>
      <c r="O32" s="32" t="str">
        <f t="shared" si="46"/>
        <v>0 [0; 3]</v>
      </c>
      <c r="P32" s="33">
        <f t="shared" si="47"/>
        <v>0</v>
      </c>
      <c r="Q32" s="33">
        <f t="shared" si="48"/>
        <v>4</v>
      </c>
      <c r="R32" s="36" t="str">
        <f>IFERROR(__xludf.DUMMYFUNCTION("IFERROR(
  LET(
    delta, FILTER(INDIRECT(AB35), ISNUMBER(INDIRECT(AB35))),
    n, COUNT(delta),
    IF(
      n&lt;2,
      TEXT(AVERAGE(delta), ""0.0""),
      TEXT(AVERAGE(delta), ""0.0"")&amp;"" ± ""&amp;TEXT(STDEV.S(delta), ""0.0"")
    )
  ),
  """"
)"),"-1.0 ± 2.2")</f>
        <v>-1.0 ± 2.2</v>
      </c>
      <c r="S32" s="18" t="str">
        <f>IFERROR(__xludf.DUMMYFUNCTION("IFERROR(
  LET(
    delta, SORT(FILTER(INDIRECT(AB35), ISNUMBER(INDIRECT(AB35))), 1, TRUE),
    n, COUNT(delta),
    med_obs, INDEX(delta, ROUNDUP(n/2, 0)),
    quart1, INDEX(delta, MAX(1, ROUNDUP(0.25*n, 0))),
    quart3, INDEX(delta, MAX(1, ROUNDUP(0.75"&amp;"*n, 0))),
    TEXT(med_obs, ""0"")&amp;"" [""&amp;TEXT(quart1, ""0"")&amp;""; ""&amp;TEXT(quart3, ""0"")&amp;""]""
  ),
  """"
)"),"0 [0; 0]")</f>
        <v>0 [0; 0]</v>
      </c>
      <c r="T32" s="18" t="str">
        <f>IFERROR(__xludf.DUMMYFUNCTION("IFERROR(
  LET(
    r, INDIRECT(AB35),
    worsened, COUNTIF(r, ""&lt;0""),
    total, COUNT(FILTER(r, ISNUMBER(r))),
    worsened&amp;""/""&amp;total&amp;"" (""&amp;TEXT(worsened/total, ""0%"")&amp;"")""
  ),
  """"
)"),"1/5 (20%)")</f>
        <v>1/5 (20%)</v>
      </c>
      <c r="U32" s="18" t="str">
        <f>IFERROR(__xludf.DUMMYFUNCTION("IFERROR(
  LET(
    r, INDIRECT(AB35),
    improved, COUNTIF(r, ""&gt;0""),
    total, COUNT(FILTER(r, ISNUMBER(r))),
    improved&amp;""/""&amp;total&amp;"" (""&amp;TEXT(improved/total, ""0%"")&amp;"")""
  ),
  """"
)"),"0/5 (0%)")</f>
        <v>0/5 (0%)</v>
      </c>
      <c r="V32" s="33">
        <f>IFERROR(__xludf.DUMMYFUNCTION("IFERROR(
  AVERAGE(FILTER(INDIRECT(B35), ISNUMBER(INDIRECT(B35))))
  -
  AVERAGE(FILTER(INDIRECT(AB35), ISNUMBER(INDIRECT(AB35)))),
  """"
)"),-1.0)</f>
        <v>-1</v>
      </c>
      <c r="W32" s="33">
        <f>IFERROR(__xludf.DUMMYFUNCTION("IFERROR(
  LET(
    x, FILTER(INDIRECT(B35), ISNUMBER(INDIRECT(B35))),
    y, FILTER(INDIRECT(AB35), ISNUMBER(INDIRECT(AB35))),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)"),0.29635301884420695)</f>
        <v>0.2963530188</v>
      </c>
      <c r="X32" s="33" t="str">
        <f>IFERROR(
  IF(
    OR(NOT(ISNUMBER(V32)),NOT(ISNUMBER(W32))),
    "",
    IF(
      W32&lt;0.05,
      IF(
        V32&lt;0,
        "Significant greater MAS reduction in NS",
        IF(V32&gt;0,"Significant greater MAS reduction in control","Significant difference, no mean direction")
      ),
      IF(
        V32&lt;0,
        "Not significant; descriptive trend favoring NS",
        IF(V32&gt;0,"Not significant; descriptive trend favoring control","Not significant; no mean difference")
      )
    )
  ),
  ""
)</f>
        <v>Not significant; descriptive trend favoring NS</v>
      </c>
      <c r="Y32" s="18"/>
      <c r="Z32" s="18"/>
      <c r="AA32" s="18"/>
      <c r="AO32" s="18"/>
      <c r="AP32" s="33"/>
      <c r="AQ32" s="18"/>
      <c r="AR32" s="18"/>
      <c r="AS32" s="18"/>
      <c r="AT32" s="33"/>
      <c r="AU32" s="18"/>
      <c r="AV32" s="18"/>
      <c r="AW32" s="18"/>
      <c r="AX32" s="18"/>
      <c r="AY32" s="18"/>
      <c r="AZ32" s="18"/>
      <c r="BA32" s="18"/>
      <c r="BE32" s="31"/>
      <c r="BF32" s="31"/>
      <c r="BG32" s="33"/>
      <c r="BH32" s="33"/>
      <c r="BI32" s="33"/>
      <c r="BJ32" s="33"/>
      <c r="BK32" s="31"/>
      <c r="BL32" s="31"/>
      <c r="BM32" s="33"/>
      <c r="BN32" s="33"/>
      <c r="BO32" s="33"/>
      <c r="BP32" s="33"/>
      <c r="BQ32" s="33"/>
      <c r="BR32" s="33"/>
    </row>
    <row r="33" hidden="1">
      <c r="A33" s="23" t="s">
        <v>94</v>
      </c>
      <c r="B33" s="23" t="s">
        <v>95</v>
      </c>
      <c r="C33" s="34"/>
      <c r="D33" s="30"/>
      <c r="E33" s="30"/>
      <c r="F33" s="30"/>
      <c r="G33" s="31"/>
      <c r="H33" s="31"/>
      <c r="AB33" s="23" t="s">
        <v>96</v>
      </c>
      <c r="AC33" s="34"/>
      <c r="AD33" s="30"/>
      <c r="AE33" s="30"/>
      <c r="AF33" s="30"/>
      <c r="AG33" s="31"/>
      <c r="AH33" s="31"/>
      <c r="BK33" s="31"/>
      <c r="BL33" s="31"/>
      <c r="BM33" s="31"/>
      <c r="BN33" s="31"/>
      <c r="BO33" s="31"/>
      <c r="BP33" s="31"/>
      <c r="BQ33" s="31"/>
      <c r="BR33" s="31"/>
    </row>
    <row r="34" hidden="1">
      <c r="A34" s="23" t="s">
        <v>97</v>
      </c>
      <c r="B34" s="23" t="s">
        <v>98</v>
      </c>
      <c r="C34" s="34"/>
      <c r="D34" s="30"/>
      <c r="E34" s="30"/>
      <c r="F34" s="30"/>
      <c r="G34" s="31"/>
      <c r="H34" s="31"/>
      <c r="AB34" s="23" t="s">
        <v>99</v>
      </c>
      <c r="AC34" s="34"/>
      <c r="AD34" s="30"/>
      <c r="AE34" s="30"/>
      <c r="AF34" s="30"/>
      <c r="AG34" s="31"/>
      <c r="AH34" s="31"/>
      <c r="BI34" s="38"/>
      <c r="BJ34" s="38"/>
      <c r="BK34" s="38"/>
      <c r="BL34" s="38"/>
      <c r="BM34" s="38"/>
      <c r="BN34" s="38"/>
      <c r="BO34" s="38"/>
      <c r="BP34" s="38"/>
      <c r="BQ34" s="38"/>
      <c r="BR34" s="38"/>
    </row>
    <row r="35" hidden="1">
      <c r="A35" s="16" t="s">
        <v>48</v>
      </c>
      <c r="B35" s="16" t="s">
        <v>100</v>
      </c>
      <c r="C35" s="6"/>
      <c r="D35" s="32"/>
      <c r="E35" s="32"/>
      <c r="F35" s="32"/>
      <c r="G35" s="33"/>
      <c r="H35" s="33"/>
      <c r="V35" s="16"/>
      <c r="Z35" s="16"/>
      <c r="AB35" s="23" t="s">
        <v>101</v>
      </c>
      <c r="AC35" s="6"/>
      <c r="AD35" s="32"/>
      <c r="AE35" s="32"/>
      <c r="AF35" s="32"/>
      <c r="AG35" s="33"/>
      <c r="AH35" s="33"/>
      <c r="AV35" s="16"/>
      <c r="AZ35" s="16"/>
      <c r="BI35" s="16"/>
      <c r="BJ35" s="16"/>
      <c r="BK35" s="16"/>
      <c r="BL35" s="16"/>
      <c r="BM35" s="16"/>
      <c r="BN35" s="16"/>
      <c r="BO35" s="16"/>
      <c r="BP35" s="16"/>
      <c r="BQ35" s="16"/>
      <c r="BR35" s="16"/>
    </row>
    <row r="36" hidden="1">
      <c r="A36" s="23" t="s">
        <v>102</v>
      </c>
      <c r="B36" s="23" t="s">
        <v>103</v>
      </c>
      <c r="C36" s="34"/>
      <c r="D36" s="30"/>
      <c r="E36" s="30"/>
      <c r="F36" s="30"/>
      <c r="G36" s="31"/>
      <c r="H36" s="31"/>
      <c r="AB36" s="23" t="s">
        <v>104</v>
      </c>
      <c r="AC36" s="34"/>
      <c r="AD36" s="30"/>
      <c r="AE36" s="30"/>
      <c r="AF36" s="30"/>
      <c r="AG36" s="31"/>
      <c r="AH36" s="31"/>
      <c r="BN36" s="23"/>
      <c r="BO36" s="23"/>
      <c r="BP36" s="23"/>
      <c r="BQ36" s="23"/>
      <c r="BR36" s="23"/>
    </row>
    <row r="37" hidden="1">
      <c r="A37" s="23" t="s">
        <v>42</v>
      </c>
      <c r="B37" s="23" t="s">
        <v>105</v>
      </c>
      <c r="C37" s="29"/>
      <c r="D37" s="30"/>
      <c r="E37" s="30"/>
      <c r="F37" s="30"/>
      <c r="G37" s="31"/>
      <c r="H37" s="31"/>
      <c r="I37" s="23"/>
      <c r="K37" s="23"/>
      <c r="AB37" s="23" t="s">
        <v>106</v>
      </c>
      <c r="AU37" s="31"/>
      <c r="AV37" s="31"/>
      <c r="AW37" s="31"/>
      <c r="AX37" s="31"/>
      <c r="AY37" s="31"/>
      <c r="AZ37" s="31"/>
      <c r="BA37" s="31"/>
      <c r="BB37" s="31"/>
      <c r="BC37" s="31"/>
      <c r="BD37" s="31"/>
      <c r="BI37" s="31"/>
      <c r="BJ37" s="31"/>
      <c r="BK37" s="31"/>
      <c r="BL37" s="31"/>
      <c r="BM37" s="31"/>
      <c r="BN37" s="31"/>
      <c r="BO37" s="31"/>
      <c r="BP37" s="31"/>
      <c r="BQ37" s="31"/>
      <c r="BR37" s="31"/>
    </row>
    <row r="38" hidden="1">
      <c r="A38" s="23" t="s">
        <v>107</v>
      </c>
      <c r="B38" s="23" t="s">
        <v>108</v>
      </c>
      <c r="C38" s="29"/>
      <c r="D38" s="30"/>
      <c r="E38" s="30"/>
      <c r="F38" s="30"/>
      <c r="G38" s="31"/>
      <c r="H38" s="31"/>
      <c r="I38" s="23"/>
      <c r="AB38" s="23" t="s">
        <v>109</v>
      </c>
      <c r="AU38" s="31"/>
      <c r="AV38" s="31"/>
      <c r="AW38" s="31"/>
      <c r="AX38" s="31"/>
      <c r="AY38" s="31"/>
      <c r="AZ38" s="31"/>
      <c r="BA38" s="31"/>
      <c r="BB38" s="31"/>
      <c r="BC38" s="31"/>
      <c r="BD38" s="31"/>
      <c r="BI38" s="31"/>
      <c r="BJ38" s="31"/>
      <c r="BK38" s="31"/>
      <c r="BL38" s="31"/>
      <c r="BM38" s="31"/>
      <c r="BN38" s="31"/>
      <c r="BO38" s="31"/>
      <c r="BP38" s="31"/>
      <c r="BQ38" s="31"/>
      <c r="BR38" s="31"/>
    </row>
    <row r="39" hidden="1">
      <c r="A39" s="23" t="s">
        <v>110</v>
      </c>
      <c r="B39" s="23" t="s">
        <v>111</v>
      </c>
      <c r="C39" s="29"/>
      <c r="D39" s="30"/>
      <c r="E39" s="30"/>
      <c r="F39" s="30"/>
      <c r="G39" s="31"/>
      <c r="H39" s="31"/>
      <c r="I39" s="23"/>
      <c r="AB39" s="23" t="s">
        <v>112</v>
      </c>
      <c r="AU39" s="31"/>
      <c r="AV39" s="31"/>
      <c r="AW39" s="31"/>
      <c r="AX39" s="31"/>
      <c r="AY39" s="31"/>
      <c r="AZ39" s="31"/>
      <c r="BA39" s="31"/>
      <c r="BB39" s="31"/>
      <c r="BC39" s="31"/>
      <c r="BD39" s="31"/>
      <c r="BI39" s="33"/>
      <c r="BJ39" s="33"/>
      <c r="BK39" s="33"/>
      <c r="BL39" s="33"/>
      <c r="BM39" s="33"/>
      <c r="BN39" s="33"/>
      <c r="BO39" s="33"/>
      <c r="BP39" s="33"/>
      <c r="BQ39" s="33"/>
      <c r="BR39" s="33"/>
    </row>
    <row r="40" hidden="1">
      <c r="A40" s="23" t="s">
        <v>45</v>
      </c>
      <c r="B40" s="23" t="s">
        <v>113</v>
      </c>
      <c r="C40" s="29"/>
      <c r="D40" s="30"/>
      <c r="E40" s="30"/>
      <c r="F40" s="30"/>
      <c r="G40" s="31"/>
      <c r="H40" s="31"/>
      <c r="I40" s="23"/>
      <c r="AB40" s="23" t="s">
        <v>114</v>
      </c>
      <c r="AU40" s="31"/>
      <c r="AV40" s="31"/>
      <c r="AW40" s="31"/>
      <c r="AX40" s="31"/>
      <c r="AY40" s="31"/>
      <c r="AZ40" s="31"/>
      <c r="BA40" s="31"/>
      <c r="BB40" s="31"/>
      <c r="BC40" s="31"/>
      <c r="BD40" s="31"/>
      <c r="BI40" s="31"/>
      <c r="BJ40" s="31"/>
      <c r="BK40" s="31"/>
      <c r="BL40" s="31"/>
      <c r="BM40" s="31"/>
      <c r="BN40" s="31"/>
      <c r="BO40" s="31"/>
      <c r="BP40" s="31"/>
      <c r="BQ40" s="31"/>
      <c r="BR40" s="31"/>
    </row>
    <row r="41" hidden="1">
      <c r="A41" s="23" t="s">
        <v>115</v>
      </c>
      <c r="B41" s="23" t="s">
        <v>116</v>
      </c>
      <c r="C41" s="29"/>
      <c r="D41" s="30"/>
      <c r="E41" s="30"/>
      <c r="F41" s="30"/>
      <c r="G41" s="31"/>
      <c r="H41" s="31"/>
      <c r="I41" s="23"/>
      <c r="AB41" s="23" t="s">
        <v>117</v>
      </c>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row>
    <row r="42" hidden="1">
      <c r="A42" s="23" t="s">
        <v>94</v>
      </c>
      <c r="B42" s="23" t="s">
        <v>118</v>
      </c>
      <c r="C42" s="29"/>
      <c r="D42" s="30"/>
      <c r="E42" s="30"/>
      <c r="F42" s="30"/>
      <c r="G42" s="31"/>
      <c r="H42" s="31"/>
      <c r="I42" s="23"/>
      <c r="AB42" s="23" t="s">
        <v>119</v>
      </c>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row>
    <row r="43" hidden="1">
      <c r="A43" s="23" t="s">
        <v>97</v>
      </c>
      <c r="B43" s="23" t="s">
        <v>120</v>
      </c>
      <c r="C43" s="29"/>
      <c r="D43" s="30"/>
      <c r="E43" s="30"/>
      <c r="F43" s="30"/>
      <c r="G43" s="31"/>
      <c r="H43" s="31"/>
      <c r="I43" s="23"/>
      <c r="AB43" s="23" t="s">
        <v>121</v>
      </c>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row>
    <row r="44" hidden="1">
      <c r="A44" s="23" t="s">
        <v>48</v>
      </c>
      <c r="B44" s="23" t="s">
        <v>122</v>
      </c>
      <c r="C44" s="29"/>
      <c r="D44" s="30"/>
      <c r="E44" s="30"/>
      <c r="F44" s="30"/>
      <c r="G44" s="31"/>
      <c r="H44" s="31"/>
      <c r="I44" s="23"/>
      <c r="AB44" s="23" t="s">
        <v>123</v>
      </c>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row>
    <row r="45" hidden="1">
      <c r="A45" s="23" t="s">
        <v>102</v>
      </c>
      <c r="B45" s="23" t="s">
        <v>124</v>
      </c>
      <c r="C45" s="29"/>
      <c r="D45" s="30"/>
      <c r="E45" s="30"/>
      <c r="F45" s="30"/>
      <c r="G45" s="31"/>
      <c r="H45" s="31"/>
      <c r="I45" s="23"/>
      <c r="AB45" s="23" t="s">
        <v>125</v>
      </c>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row>
    <row r="46" hidden="1">
      <c r="A46" s="23" t="s">
        <v>42</v>
      </c>
      <c r="B46" s="23" t="s">
        <v>126</v>
      </c>
      <c r="C46" s="29"/>
      <c r="D46" s="30"/>
      <c r="E46" s="30"/>
      <c r="F46" s="30"/>
      <c r="G46" s="31"/>
      <c r="H46" s="31"/>
      <c r="I46" s="23"/>
      <c r="AB46" s="23" t="s">
        <v>127</v>
      </c>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row>
    <row r="47" hidden="1">
      <c r="A47" s="23" t="s">
        <v>107</v>
      </c>
      <c r="B47" s="23" t="s">
        <v>128</v>
      </c>
      <c r="C47" s="29"/>
      <c r="D47" s="30"/>
      <c r="E47" s="30"/>
      <c r="F47" s="30"/>
      <c r="G47" s="31"/>
      <c r="H47" s="31"/>
      <c r="I47" s="23"/>
      <c r="AB47" s="23" t="s">
        <v>129</v>
      </c>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row>
    <row r="48" hidden="1">
      <c r="A48" s="23" t="s">
        <v>110</v>
      </c>
      <c r="B48" s="23" t="s">
        <v>130</v>
      </c>
      <c r="C48" s="29"/>
      <c r="D48" s="30"/>
      <c r="E48" s="30"/>
      <c r="F48" s="30"/>
      <c r="G48" s="31"/>
      <c r="H48" s="31"/>
      <c r="I48" s="23"/>
      <c r="Q48" s="35"/>
      <c r="X48" s="30"/>
      <c r="Y48" s="30"/>
      <c r="Z48" s="30"/>
      <c r="AA48" s="31"/>
      <c r="AB48" s="23" t="s">
        <v>131</v>
      </c>
      <c r="AC48" s="23"/>
      <c r="AD48" s="23"/>
      <c r="AE48" s="23"/>
      <c r="AI48" s="35"/>
      <c r="AK48" s="35"/>
      <c r="AQ48" s="31"/>
      <c r="AR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row>
    <row r="49" hidden="1">
      <c r="A49" s="23" t="s">
        <v>45</v>
      </c>
      <c r="B49" s="23" t="s">
        <v>132</v>
      </c>
      <c r="C49" s="29"/>
      <c r="D49" s="30"/>
      <c r="E49" s="30"/>
      <c r="F49" s="30"/>
      <c r="G49" s="31"/>
      <c r="H49" s="31"/>
      <c r="I49" s="23"/>
      <c r="Q49" s="35"/>
      <c r="X49" s="30"/>
      <c r="Y49" s="30"/>
      <c r="Z49" s="30"/>
      <c r="AA49" s="31"/>
      <c r="AB49" s="23" t="s">
        <v>133</v>
      </c>
      <c r="AC49" s="23"/>
      <c r="AD49" s="23"/>
      <c r="AE49" s="23"/>
      <c r="AI49" s="35"/>
      <c r="AK49" s="35"/>
      <c r="AQ49" s="31"/>
      <c r="AR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row>
    <row r="50" hidden="1">
      <c r="A50" s="23" t="s">
        <v>115</v>
      </c>
      <c r="B50" s="23" t="s">
        <v>134</v>
      </c>
      <c r="C50" s="29"/>
      <c r="D50" s="30"/>
      <c r="E50" s="30"/>
      <c r="F50" s="30"/>
      <c r="G50" s="31"/>
      <c r="H50" s="31"/>
      <c r="I50" s="23"/>
      <c r="Q50" s="35"/>
      <c r="X50" s="30"/>
      <c r="Y50" s="30"/>
      <c r="Z50" s="30"/>
      <c r="AA50" s="31"/>
      <c r="AB50" s="23" t="s">
        <v>135</v>
      </c>
      <c r="AC50" s="23"/>
      <c r="AD50" s="23"/>
      <c r="AE50" s="23"/>
      <c r="AI50" s="35"/>
      <c r="AK50" s="35"/>
      <c r="AQ50" s="31"/>
      <c r="AR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row>
    <row r="51" hidden="1">
      <c r="A51" s="23" t="s">
        <v>94</v>
      </c>
      <c r="B51" s="23" t="s">
        <v>136</v>
      </c>
      <c r="C51" s="29"/>
      <c r="D51" s="30"/>
      <c r="E51" s="30"/>
      <c r="F51" s="30"/>
      <c r="G51" s="31"/>
      <c r="H51" s="31"/>
      <c r="I51" s="23"/>
      <c r="Q51" s="35"/>
      <c r="X51" s="30"/>
      <c r="Y51" s="30"/>
      <c r="Z51" s="30"/>
      <c r="AA51" s="31"/>
      <c r="AB51" s="23" t="s">
        <v>137</v>
      </c>
      <c r="AC51" s="23"/>
      <c r="AD51" s="23"/>
      <c r="AE51" s="23"/>
      <c r="AI51" s="35"/>
      <c r="AK51" s="35"/>
      <c r="AQ51" s="31"/>
      <c r="AR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row>
    <row r="52" hidden="1">
      <c r="A52" s="23" t="s">
        <v>97</v>
      </c>
      <c r="B52" s="23" t="s">
        <v>138</v>
      </c>
      <c r="C52" s="29"/>
      <c r="D52" s="30"/>
      <c r="E52" s="30"/>
      <c r="F52" s="30"/>
      <c r="G52" s="31"/>
      <c r="H52" s="31"/>
      <c r="I52" s="23"/>
      <c r="Q52" s="35"/>
      <c r="X52" s="30"/>
      <c r="Y52" s="30"/>
      <c r="Z52" s="30"/>
      <c r="AA52" s="31"/>
      <c r="AB52" s="23" t="s">
        <v>139</v>
      </c>
      <c r="AC52" s="23"/>
      <c r="AD52" s="23"/>
      <c r="AE52" s="23"/>
      <c r="AI52" s="35"/>
      <c r="AK52" s="35"/>
      <c r="AQ52" s="31"/>
      <c r="AR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row>
    <row r="53" hidden="1">
      <c r="A53" s="23" t="s">
        <v>48</v>
      </c>
      <c r="B53" s="23" t="s">
        <v>140</v>
      </c>
      <c r="C53" s="29"/>
      <c r="D53" s="30"/>
      <c r="E53" s="30"/>
      <c r="F53" s="30"/>
      <c r="G53" s="31"/>
      <c r="H53" s="31"/>
      <c r="I53" s="23"/>
      <c r="Q53" s="35"/>
      <c r="X53" s="30"/>
      <c r="Y53" s="30"/>
      <c r="Z53" s="30"/>
      <c r="AA53" s="31"/>
      <c r="AB53" s="23" t="s">
        <v>141</v>
      </c>
      <c r="AC53" s="23"/>
      <c r="AD53" s="23"/>
      <c r="AE53" s="23"/>
      <c r="AI53" s="35"/>
      <c r="AK53" s="35"/>
      <c r="AQ53" s="31"/>
      <c r="AR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row>
    <row r="54" hidden="1">
      <c r="A54" s="23" t="s">
        <v>102</v>
      </c>
      <c r="B54" s="23" t="s">
        <v>142</v>
      </c>
      <c r="C54" s="29"/>
      <c r="D54" s="30"/>
      <c r="E54" s="30"/>
      <c r="F54" s="30"/>
      <c r="G54" s="31"/>
      <c r="H54" s="31"/>
      <c r="I54" s="23"/>
      <c r="Q54" s="35"/>
      <c r="X54" s="30"/>
      <c r="Y54" s="30"/>
      <c r="Z54" s="30"/>
      <c r="AA54" s="31"/>
      <c r="AB54" s="23" t="s">
        <v>143</v>
      </c>
      <c r="AC54" s="23"/>
      <c r="AD54" s="23"/>
      <c r="AE54" s="23"/>
      <c r="AI54" s="35"/>
      <c r="AK54" s="35"/>
      <c r="AQ54" s="31"/>
      <c r="AR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row>
    <row r="55" hidden="1">
      <c r="A55" s="23" t="s">
        <v>42</v>
      </c>
      <c r="B55" s="23" t="s">
        <v>144</v>
      </c>
      <c r="C55" s="29"/>
      <c r="D55" s="30"/>
      <c r="E55" s="30"/>
      <c r="F55" s="30"/>
      <c r="G55" s="31"/>
      <c r="H55" s="31"/>
      <c r="I55" s="23"/>
      <c r="Q55" s="35"/>
      <c r="X55" s="30"/>
      <c r="Y55" s="30"/>
      <c r="Z55" s="30"/>
      <c r="AA55" s="31"/>
      <c r="AB55" s="23" t="s">
        <v>145</v>
      </c>
      <c r="AC55" s="23"/>
      <c r="AD55" s="23"/>
      <c r="AE55" s="23"/>
      <c r="AI55" s="35"/>
      <c r="AK55" s="35"/>
      <c r="AQ55" s="31"/>
      <c r="AR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row>
    <row r="56" hidden="1">
      <c r="A56" s="23" t="s">
        <v>107</v>
      </c>
      <c r="B56" s="23" t="s">
        <v>146</v>
      </c>
      <c r="C56" s="29"/>
      <c r="D56" s="30"/>
      <c r="E56" s="30"/>
      <c r="F56" s="30"/>
      <c r="G56" s="31"/>
      <c r="H56" s="31"/>
      <c r="I56" s="23"/>
      <c r="Q56" s="35"/>
      <c r="X56" s="30"/>
      <c r="Y56" s="30"/>
      <c r="Z56" s="30"/>
      <c r="AA56" s="31"/>
      <c r="AB56" s="23" t="s">
        <v>147</v>
      </c>
      <c r="AC56" s="23"/>
      <c r="AD56" s="23"/>
      <c r="AE56" s="23"/>
      <c r="AI56" s="35"/>
      <c r="AK56" s="35"/>
      <c r="AQ56" s="31"/>
      <c r="AR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row>
    <row r="57" hidden="1">
      <c r="A57" s="23" t="s">
        <v>110</v>
      </c>
      <c r="B57" s="23" t="s">
        <v>148</v>
      </c>
      <c r="C57" s="29"/>
      <c r="D57" s="30"/>
      <c r="E57" s="30"/>
      <c r="F57" s="30"/>
      <c r="G57" s="31"/>
      <c r="H57" s="31"/>
      <c r="I57" s="23"/>
      <c r="Q57" s="35"/>
      <c r="X57" s="30"/>
      <c r="Y57" s="30"/>
      <c r="Z57" s="30"/>
      <c r="AA57" s="31"/>
      <c r="AB57" s="23" t="s">
        <v>149</v>
      </c>
      <c r="AC57" s="23"/>
      <c r="AD57" s="23"/>
      <c r="AE57" s="23"/>
      <c r="AI57" s="35"/>
      <c r="AK57" s="35"/>
      <c r="AQ57" s="31"/>
      <c r="AR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row>
    <row r="58" hidden="1">
      <c r="A58" s="23" t="s">
        <v>45</v>
      </c>
      <c r="B58" s="23" t="s">
        <v>150</v>
      </c>
      <c r="C58" s="29"/>
      <c r="D58" s="30"/>
      <c r="E58" s="30"/>
      <c r="F58" s="30"/>
      <c r="G58" s="31"/>
      <c r="H58" s="31"/>
      <c r="I58" s="23"/>
      <c r="Q58" s="35"/>
      <c r="X58" s="30"/>
      <c r="Y58" s="30"/>
      <c r="Z58" s="30"/>
      <c r="AA58" s="31"/>
      <c r="AB58" s="23" t="s">
        <v>151</v>
      </c>
      <c r="AC58" s="23"/>
      <c r="AD58" s="23"/>
      <c r="AE58" s="23"/>
      <c r="AI58" s="35"/>
      <c r="AK58" s="35"/>
      <c r="AQ58" s="31"/>
      <c r="AR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row>
    <row r="59" hidden="1">
      <c r="A59" s="23" t="s">
        <v>115</v>
      </c>
      <c r="B59" s="23" t="s">
        <v>152</v>
      </c>
      <c r="C59" s="29"/>
      <c r="D59" s="30"/>
      <c r="E59" s="30"/>
      <c r="F59" s="30"/>
      <c r="G59" s="31"/>
      <c r="H59" s="31"/>
      <c r="I59" s="23"/>
      <c r="Q59" s="35"/>
      <c r="X59" s="30"/>
      <c r="Y59" s="30"/>
      <c r="Z59" s="30"/>
      <c r="AA59" s="31"/>
      <c r="AB59" s="23" t="s">
        <v>153</v>
      </c>
      <c r="AC59" s="23"/>
      <c r="AD59" s="23"/>
      <c r="AE59" s="23"/>
      <c r="AI59" s="35"/>
      <c r="AK59" s="35"/>
      <c r="AQ59" s="31"/>
      <c r="AR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row>
    <row r="60" hidden="1">
      <c r="A60" s="23" t="s">
        <v>94</v>
      </c>
      <c r="B60" s="23" t="s">
        <v>154</v>
      </c>
      <c r="C60" s="29"/>
      <c r="D60" s="30"/>
      <c r="E60" s="30"/>
      <c r="F60" s="30"/>
      <c r="G60" s="31"/>
      <c r="H60" s="31"/>
      <c r="I60" s="23"/>
      <c r="Q60" s="35"/>
      <c r="X60" s="30"/>
      <c r="Y60" s="30"/>
      <c r="Z60" s="30"/>
      <c r="AA60" s="31"/>
      <c r="AB60" s="23" t="s">
        <v>155</v>
      </c>
      <c r="AC60" s="23"/>
      <c r="AD60" s="23"/>
      <c r="AE60" s="23"/>
      <c r="AI60" s="35"/>
      <c r="AK60" s="35"/>
      <c r="AQ60" s="31"/>
      <c r="AR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row>
    <row r="61" hidden="1">
      <c r="A61" s="23" t="s">
        <v>97</v>
      </c>
      <c r="B61" s="23" t="s">
        <v>156</v>
      </c>
      <c r="C61" s="29"/>
      <c r="D61" s="30"/>
      <c r="E61" s="30"/>
      <c r="F61" s="30"/>
      <c r="G61" s="31"/>
      <c r="H61" s="31"/>
      <c r="I61" s="23"/>
      <c r="Q61" s="35"/>
      <c r="X61" s="30"/>
      <c r="Y61" s="30"/>
      <c r="Z61" s="30"/>
      <c r="AA61" s="31"/>
      <c r="AB61" s="23" t="s">
        <v>157</v>
      </c>
      <c r="AC61" s="23"/>
      <c r="AD61" s="23"/>
      <c r="AE61" s="23"/>
      <c r="AI61" s="35"/>
      <c r="AK61" s="35"/>
      <c r="AQ61" s="31"/>
      <c r="AR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row>
    <row r="62" hidden="1">
      <c r="A62" s="23" t="s">
        <v>48</v>
      </c>
      <c r="B62" s="23" t="s">
        <v>158</v>
      </c>
      <c r="C62" s="29"/>
      <c r="D62" s="30"/>
      <c r="E62" s="30"/>
      <c r="F62" s="30"/>
      <c r="G62" s="31"/>
      <c r="H62" s="31"/>
      <c r="I62" s="23"/>
      <c r="Q62" s="35"/>
      <c r="X62" s="30"/>
      <c r="Y62" s="30"/>
      <c r="Z62" s="30"/>
      <c r="AA62" s="31"/>
      <c r="AB62" s="23" t="s">
        <v>159</v>
      </c>
      <c r="AC62" s="23"/>
      <c r="AD62" s="23"/>
      <c r="AE62" s="23"/>
      <c r="AI62" s="35"/>
      <c r="AK62" s="35"/>
      <c r="AQ62" s="31"/>
      <c r="AR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row>
    <row r="63" hidden="1">
      <c r="A63" s="23" t="s">
        <v>102</v>
      </c>
      <c r="B63" s="23" t="s">
        <v>160</v>
      </c>
      <c r="C63" s="29"/>
      <c r="D63" s="30"/>
      <c r="E63" s="30"/>
      <c r="F63" s="30"/>
      <c r="G63" s="31"/>
      <c r="H63" s="31"/>
      <c r="I63" s="23"/>
      <c r="Q63" s="35"/>
      <c r="X63" s="30"/>
      <c r="Y63" s="30"/>
      <c r="Z63" s="30"/>
      <c r="AA63" s="31"/>
      <c r="AB63" s="23" t="s">
        <v>161</v>
      </c>
      <c r="AC63" s="23"/>
      <c r="AD63" s="23"/>
      <c r="AE63" s="23"/>
      <c r="AI63" s="35"/>
      <c r="AK63" s="35"/>
      <c r="AQ63" s="31"/>
      <c r="AR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row>
    <row r="64" hidden="1">
      <c r="A64" s="23" t="s">
        <v>94</v>
      </c>
      <c r="B64" s="23" t="s">
        <v>162</v>
      </c>
      <c r="C64" s="34"/>
      <c r="AB64" s="23" t="s">
        <v>163</v>
      </c>
    </row>
    <row r="65" hidden="1">
      <c r="A65" s="23" t="s">
        <v>97</v>
      </c>
      <c r="B65" s="23" t="s">
        <v>164</v>
      </c>
      <c r="C65" s="34"/>
      <c r="AB65" s="23" t="s">
        <v>165</v>
      </c>
    </row>
    <row r="66" hidden="1">
      <c r="A66" s="23" t="s">
        <v>48</v>
      </c>
      <c r="B66" s="23" t="s">
        <v>166</v>
      </c>
      <c r="C66" s="34"/>
      <c r="AB66" s="23" t="s">
        <v>167</v>
      </c>
    </row>
    <row r="67" hidden="1">
      <c r="A67" s="23" t="s">
        <v>102</v>
      </c>
      <c r="B67" s="23" t="s">
        <v>168</v>
      </c>
      <c r="C67" s="34"/>
      <c r="AB67" s="23" t="s">
        <v>169</v>
      </c>
    </row>
    <row r="68" hidden="1">
      <c r="A68" s="23" t="s">
        <v>94</v>
      </c>
      <c r="B68" s="23" t="s">
        <v>170</v>
      </c>
      <c r="C68" s="34"/>
      <c r="AB68" s="23" t="s">
        <v>171</v>
      </c>
    </row>
    <row r="69" hidden="1">
      <c r="A69" s="23" t="s">
        <v>97</v>
      </c>
      <c r="B69" s="23" t="s">
        <v>172</v>
      </c>
      <c r="C69" s="34"/>
      <c r="AB69" s="23" t="s">
        <v>173</v>
      </c>
    </row>
    <row r="70" hidden="1">
      <c r="A70" s="23" t="s">
        <v>48</v>
      </c>
      <c r="B70" s="23" t="s">
        <v>174</v>
      </c>
      <c r="C70" s="34"/>
      <c r="AB70" s="23" t="s">
        <v>175</v>
      </c>
    </row>
    <row r="71" hidden="1">
      <c r="A71" s="23" t="s">
        <v>102</v>
      </c>
      <c r="B71" s="23" t="s">
        <v>176</v>
      </c>
      <c r="C71" s="34"/>
      <c r="AB71" s="23" t="s">
        <v>177</v>
      </c>
    </row>
    <row r="72">
      <c r="C72" s="34"/>
    </row>
    <row r="73">
      <c r="A73" s="27" t="s">
        <v>178</v>
      </c>
      <c r="B73" s="6" t="s">
        <v>24</v>
      </c>
      <c r="M73" s="6" t="s">
        <v>25</v>
      </c>
      <c r="X73" s="6" t="s">
        <v>26</v>
      </c>
      <c r="AA73" s="6"/>
      <c r="AB73" s="6"/>
      <c r="AR73" s="6"/>
      <c r="AS73" s="6"/>
      <c r="AT73" s="6"/>
      <c r="AU73" s="6"/>
      <c r="AV73" s="6"/>
      <c r="AW73" s="6"/>
      <c r="AX73" s="6"/>
      <c r="AY73" s="6"/>
      <c r="AZ73" s="6"/>
      <c r="BA73" s="6"/>
      <c r="BB73" s="6"/>
      <c r="BC73" s="6"/>
      <c r="BG73" s="6"/>
      <c r="BH73" s="6"/>
      <c r="BI73" s="6"/>
      <c r="BJ73" s="6"/>
      <c r="BK73" s="6"/>
      <c r="BL73" s="6"/>
      <c r="BM73" s="6"/>
      <c r="BN73" s="6"/>
      <c r="BO73" s="6"/>
      <c r="BP73" s="6"/>
      <c r="BQ73" s="6"/>
      <c r="BR73" s="6"/>
    </row>
    <row r="74">
      <c r="A74" s="28"/>
      <c r="B74" s="16"/>
      <c r="C74" s="6"/>
      <c r="D74" s="6" t="s">
        <v>179</v>
      </c>
      <c r="M74" s="16"/>
      <c r="N74" s="16"/>
      <c r="O74" s="6" t="s">
        <v>179</v>
      </c>
      <c r="X74" s="38" t="s">
        <v>180</v>
      </c>
      <c r="AA74" s="6"/>
      <c r="AB74" s="6"/>
      <c r="AR74" s="6"/>
      <c r="AV74" s="6"/>
      <c r="AZ74" s="6"/>
      <c r="BG74" s="38"/>
      <c r="BJ74" s="38"/>
      <c r="BM74" s="38"/>
      <c r="BP74" s="38"/>
      <c r="BQ74" s="38"/>
      <c r="BR74" s="38"/>
    </row>
    <row r="75">
      <c r="A75" s="28" t="s">
        <v>27</v>
      </c>
      <c r="B75" s="16" t="s">
        <v>28</v>
      </c>
      <c r="C75" s="6" t="s">
        <v>29</v>
      </c>
      <c r="D75" s="28" t="s">
        <v>86</v>
      </c>
      <c r="E75" s="28" t="s">
        <v>87</v>
      </c>
      <c r="F75" s="16" t="s">
        <v>33</v>
      </c>
      <c r="G75" s="16" t="s">
        <v>34</v>
      </c>
      <c r="H75" s="16" t="s">
        <v>66</v>
      </c>
      <c r="I75" s="16" t="s">
        <v>88</v>
      </c>
      <c r="J75" s="16" t="s">
        <v>89</v>
      </c>
      <c r="K75" s="16" t="s">
        <v>72</v>
      </c>
      <c r="L75" s="16" t="s">
        <v>74</v>
      </c>
      <c r="M75" s="16" t="s">
        <v>28</v>
      </c>
      <c r="N75" s="16" t="s">
        <v>29</v>
      </c>
      <c r="O75" s="28" t="s">
        <v>86</v>
      </c>
      <c r="P75" s="28" t="s">
        <v>87</v>
      </c>
      <c r="Q75" s="16" t="s">
        <v>33</v>
      </c>
      <c r="R75" s="16" t="s">
        <v>34</v>
      </c>
      <c r="S75" s="16" t="s">
        <v>66</v>
      </c>
      <c r="T75" s="16" t="s">
        <v>88</v>
      </c>
      <c r="U75" s="16" t="s">
        <v>89</v>
      </c>
      <c r="V75" s="16" t="s">
        <v>72</v>
      </c>
      <c r="W75" s="16" t="s">
        <v>74</v>
      </c>
      <c r="X75" s="16" t="s">
        <v>4</v>
      </c>
      <c r="Y75" s="6" t="s">
        <v>35</v>
      </c>
      <c r="Z75" s="16" t="s">
        <v>41</v>
      </c>
      <c r="AA75" s="16"/>
      <c r="AB75" s="16"/>
      <c r="AR75" s="28"/>
      <c r="AS75" s="28"/>
      <c r="AT75" s="16"/>
      <c r="AU75" s="16"/>
      <c r="AV75" s="28"/>
      <c r="AW75" s="28"/>
      <c r="AX75" s="16"/>
      <c r="AY75" s="16"/>
      <c r="AZ75" s="28"/>
      <c r="BA75" s="28"/>
      <c r="BB75" s="16"/>
      <c r="BC75" s="16"/>
      <c r="BG75" s="16"/>
      <c r="BH75" s="6"/>
      <c r="BI75" s="16"/>
      <c r="BJ75" s="16"/>
      <c r="BK75" s="6"/>
      <c r="BL75" s="16"/>
      <c r="BM75" s="16"/>
      <c r="BN75" s="6"/>
      <c r="BO75" s="16"/>
      <c r="BP75" s="16"/>
      <c r="BQ75" s="16"/>
      <c r="BR75" s="16"/>
    </row>
    <row r="76">
      <c r="A76" s="23" t="s">
        <v>42</v>
      </c>
      <c r="B76" s="23" t="s">
        <v>181</v>
      </c>
      <c r="C76" s="29">
        <f>IFERROR(__xludf.DUMMYFUNCTION("SUMPRODUCT(--REGEXMATCH(TO_TEXT(INDIRECT(B76)), ""^\s*-?\d+(\.\d+)?\s*$""))"),7.0)</f>
        <v>7</v>
      </c>
      <c r="D76" s="30" t="str">
        <f t="shared" ref="D76:D77" si="49">TEXT(AVERAGE(INDIRECT(B76)), "0.0")&amp;" ± "&amp;TEXT(_xlfn.STDEV.S(INDIRECT(B76)), "0.0")</f>
        <v>23.3 ± 7.3</v>
      </c>
      <c r="E76" s="30" t="str">
        <f t="shared" ref="E76:E77" si="50">TEXT(MEDIAN(INDIRECT(B76)), "0")&amp;" ["&amp;TEXT(QUARTILE(INDIRECT(B76), 1), "0")&amp;"; "&amp;TEXT(QUARTILE(INDIRECT(B76), 3), "0")&amp;"]"</f>
        <v>22 [17; 29]</v>
      </c>
      <c r="F76" s="31">
        <f t="shared" ref="F76:F77" si="51">MIN(INDIRECT(B76))</f>
        <v>16</v>
      </c>
      <c r="G76" s="31">
        <f t="shared" ref="G76:G77" si="52">MAX(INDIRECT(B76))</f>
        <v>34</v>
      </c>
      <c r="H76" s="31">
        <f>IFERROR(__xludf.DUMMYFUNCTION("IFERROR(
  LET(
    r, FILTER(INDIRECT(B76), ISNUMBER(INDIRECT(B76))),
    100-AVERAGE(r)
  ),
  """"
)"),76.71428571428572)</f>
        <v>76.71428571</v>
      </c>
      <c r="I76" s="23" t="s">
        <v>22</v>
      </c>
      <c r="J76" s="23" t="s">
        <v>22</v>
      </c>
      <c r="K76" s="23" t="s">
        <v>22</v>
      </c>
      <c r="L76" s="23" t="s">
        <v>22</v>
      </c>
      <c r="M76" s="23" t="s">
        <v>182</v>
      </c>
      <c r="N76" s="23">
        <f>IFERROR(__xludf.DUMMYFUNCTION("SUMPRODUCT(--REGEXMATCH(TO_TEXT(INDIRECT(M76)), ""^\s*-?\d+(\.\d+)?\s*$""))"),5.0)</f>
        <v>5</v>
      </c>
      <c r="O76" s="30" t="str">
        <f t="shared" ref="O76:O77" si="53">TEXT(AVERAGE(INDIRECT(M76)), "0.0")&amp;" ± "&amp;TEXT(_xlfn.STDEV.S(INDIRECT(M76)), "0.0")</f>
        <v>28.8 ± 6.6</v>
      </c>
      <c r="P76" s="30" t="str">
        <f t="shared" ref="P76:P77" si="54">TEXT(MEDIAN(INDIRECT(M76)), "0")&amp;" ["&amp;TEXT(QUARTILE(INDIRECT(M76), 1), "0")&amp;"; "&amp;TEXT(QUARTILE(INDIRECT(M76), 3), "0")&amp;"]"</f>
        <v>26 [26; 29]</v>
      </c>
      <c r="Q76" s="31">
        <f t="shared" ref="Q76:Q77" si="55">MIN(INDIRECT(M76))</f>
        <v>23</v>
      </c>
      <c r="R76" s="31">
        <f t="shared" ref="R76:R77" si="56">MAX(INDIRECT(M76))</f>
        <v>40</v>
      </c>
      <c r="S76" s="31">
        <f>IFERROR(__xludf.DUMMYFUNCTION("IFERROR(
  LET(
    r, FILTER(INDIRECT(M76), ISNUMBER(INDIRECT(M76))),
    100-AVERAGE(r)
  ),
  """"
)"),71.2)</f>
        <v>71.2</v>
      </c>
      <c r="T76" s="23" t="s">
        <v>22</v>
      </c>
      <c r="U76" s="23" t="s">
        <v>22</v>
      </c>
      <c r="V76" s="23" t="s">
        <v>22</v>
      </c>
      <c r="W76" s="23" t="s">
        <v>22</v>
      </c>
      <c r="X76" s="23" t="s">
        <v>22</v>
      </c>
      <c r="Y76" s="23" t="s">
        <v>22</v>
      </c>
      <c r="Z76" s="23" t="s">
        <v>22</v>
      </c>
      <c r="AR76" s="31"/>
      <c r="AV76" s="31"/>
      <c r="BP76" s="23"/>
      <c r="BQ76" s="23"/>
      <c r="BR76" s="23"/>
    </row>
    <row r="77">
      <c r="A77" s="16" t="s">
        <v>45</v>
      </c>
      <c r="B77" s="16" t="s">
        <v>183</v>
      </c>
      <c r="C77" s="6">
        <f>IFERROR(__xludf.DUMMYFUNCTION("SUMPRODUCT(--REGEXMATCH(TO_TEXT(INDIRECT(B77)), ""^\s*-?\d+(\.\d+)?\s*$""))"),7.0)</f>
        <v>7</v>
      </c>
      <c r="D77" s="32" t="str">
        <f t="shared" si="49"/>
        <v>30.3 ± 10.6</v>
      </c>
      <c r="E77" s="32" t="str">
        <f t="shared" si="50"/>
        <v>33 [22; 38]</v>
      </c>
      <c r="F77" s="33">
        <f t="shared" si="51"/>
        <v>16</v>
      </c>
      <c r="G77" s="33">
        <f t="shared" si="52"/>
        <v>43</v>
      </c>
      <c r="H77" s="33">
        <f>IFERROR(__xludf.DUMMYFUNCTION("IFERROR(
  LET(
    r, FILTER(INDIRECT(B77), ISNUMBER(INDIRECT(B77))),
    100-AVERAGE(r)
  ),
  """"
)"),69.71428571428572)</f>
        <v>69.71428571</v>
      </c>
      <c r="I77" s="36" t="str">
        <f>IFERROR(__xludf.DUMMYFUNCTION("IFERROR(
  LET(
    delta, FILTER(INDIRECT(B80), ISNUMBER(INDIRECT(B80))),
    n, COUNT(delta),
    IF(
      n&lt;2,
      TEXT(AVERAGE(delta), ""0.0""),
      TEXT(AVERAGE(delta), ""0.0"")&amp;"" ± ""&amp;TEXT(STDEV.S(delta), ""0.0"")
    )
  ),
  """"
)"),"7.0 ± 4.3")</f>
        <v>7.0 ± 4.3</v>
      </c>
      <c r="J77" s="18" t="str">
        <f>IFERROR(__xludf.DUMMYFUNCTION("IFERROR(
  LET(
    delta, SORT(FILTER(INDIRECT(B80), ISNUMBER(INDIRECT(B80))), 1, TRUE),
    n, COUNT(delta),
    med_obs, INDEX(delta, ROUNDUP(n/2, 0)),
    quart1, INDEX(delta, MAX(1, ROUNDUP(0.25*n, 0))),
    quart3, INDEX(delta, MAX(1, ROUNDUP(0.75*n"&amp;", 0))),
    TEXT(med_obs, ""0"")&amp;"" [""&amp;TEXT(quart1, ""0"")&amp;""; ""&amp;TEXT(quart3, ""0"")&amp;""]""
  ),
  """"
)"),"7 [4; 12]")</f>
        <v>7 [4; 12]</v>
      </c>
      <c r="K77" s="18" t="str">
        <f>IFERROR(__xludf.DUMMYFUNCTION("IFERROR(
  LET(
    r, INDIRECT(B80),
    worsened, COUNTIF(r, ""&gt;0""),
    total, COUNT(FILTER(r, ISNUMBER(r))),
    worsened&amp;""/""&amp;total&amp;"" (""&amp;TEXT(worsened/total, ""0%"")&amp;"")""
  ),
  """"
)"),"6/7 (86%)")</f>
        <v>6/7 (86%)</v>
      </c>
      <c r="L77" s="18" t="str">
        <f>IFERROR(__xludf.DUMMYFUNCTION("IFERROR(
  LET(
    r, INDIRECT(B80),
    improved, COUNTIF(r, ""&lt;0""),
    total, COUNT(FILTER(r, ISNUMBER(r))),
    improved&amp;""/""&amp;total&amp;"" (""&amp;TEXT(improved/total, ""0%"")&amp;"")""
  ),
  """"
)"),"0/7 (0%)")</f>
        <v>0/7 (0%)</v>
      </c>
      <c r="M77" s="16" t="s">
        <v>184</v>
      </c>
      <c r="N77" s="16">
        <f>IFERROR(__xludf.DUMMYFUNCTION("SUMPRODUCT(--REGEXMATCH(TO_TEXT(INDIRECT(M77)), ""^\s*-?\d+(\.\d+)?\s*$""))"),5.0)</f>
        <v>5</v>
      </c>
      <c r="O77" s="32" t="str">
        <f t="shared" si="53"/>
        <v>35.2 ± 4.2</v>
      </c>
      <c r="P77" s="32" t="str">
        <f t="shared" si="54"/>
        <v>35 [34; 38]</v>
      </c>
      <c r="Q77" s="33">
        <f t="shared" si="55"/>
        <v>29</v>
      </c>
      <c r="R77" s="33">
        <f t="shared" si="56"/>
        <v>40</v>
      </c>
      <c r="S77" s="33">
        <f>IFERROR(__xludf.DUMMYFUNCTION("IFERROR(
  LET(
    r, FILTER(INDIRECT(M77), ISNUMBER(INDIRECT(M77))),
    100-AVERAGE(r)
  ),
  """"
)"),64.8)</f>
        <v>64.8</v>
      </c>
      <c r="T77" s="36" t="str">
        <f>IFERROR(__xludf.DUMMYFUNCTION("IFERROR(
  LET(
    delta, FILTER(INDIRECT(AC80), ISNUMBER(INDIRECT(AC80))),
    n, COUNT(delta),
    IF(
      n&lt;2,
      TEXT(AVERAGE(delta), ""0.0""),
      TEXT(AVERAGE(delta), ""0.0"")&amp;"" ± ""&amp;TEXT(STDEV.S(delta), ""0.0"")
    )
  ),
  """"
)"),"6.4 ± 6.4")</f>
        <v>6.4 ± 6.4</v>
      </c>
      <c r="U77" s="18" t="str">
        <f>IFERROR(__xludf.DUMMYFUNCTION("IFERROR(
  LET(
    delta, SORT(FILTER(INDIRECT(AC80), ISNUMBER(INDIRECT(AC80))), 1, TRUE),
    n, COUNT(delta),
    med_obs, INDEX(delta, ROUNDUP(n/2, 0)),
    quart1, INDEX(delta, MAX(1, ROUNDUP(0.25*n, 0))),
    quart3, INDEX(delta, MAX(1, ROUNDUP(0.75"&amp;"*n, 0))),
    TEXT(med_obs, ""0"")&amp;"" [""&amp;TEXT(quart1, ""0"")&amp;""; ""&amp;TEXT(quart3, ""0"")&amp;""]""
  ),
  """"
)"),"8 [0; 9]")</f>
        <v>8 [0; 9]</v>
      </c>
      <c r="V77" s="18" t="str">
        <f>IFERROR(__xludf.DUMMYFUNCTION("IFERROR(
  LET(
    r, INDIRECT(AC80),
    worsened, COUNTIF(r, ""&gt;0""),
    total, COUNT(FILTER(r, ISNUMBER(r))),
    worsened&amp;""/""&amp;total&amp;"" (""&amp;TEXT(worsened/total, ""0%"")&amp;"")""
  ),
  """"
)"),"3/5 (60%)")</f>
        <v>3/5 (60%)</v>
      </c>
      <c r="W77" s="18" t="str">
        <f>IFERROR(__xludf.DUMMYFUNCTION("IFERROR(
  LET(
    r, INDIRECT(AC80),
    improved, COUNTIF(r, ""&lt;0""),
    total, COUNT(FILTER(r, ISNUMBER(r))),
    improved&amp;""/""&amp;total&amp;"" (""&amp;TEXT(improved/total, ""0%"")&amp;"")""
  ),
  """"
)"),"0/5 (0%)")</f>
        <v>0/5 (0%)</v>
      </c>
      <c r="X77" s="33">
        <f>IFERROR(__xludf.DUMMYFUNCTION("IFERROR(
  AVERAGE(FILTER(INDIRECT(B80), ISNUMBER(INDIRECT(B80))))
  -
  AVERAGE(FILTER(INDIRECT(AC80), ISNUMBER(INDIRECT(AC80)))),
  """"
)"),0.5999999999999996)</f>
        <v>0.6</v>
      </c>
      <c r="Y77" s="33">
        <f>IFERROR(__xludf.DUMMYFUNCTION("IFERROR(
  LET(
    x, FILTER(INDIRECT(B80), ISNUMBER(INDIRECT(B80))),
    y, FILTER(INDIRECT(AC80), ISNUMBER(INDIRECT(AC80))),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)"),1.0)</f>
        <v>1</v>
      </c>
      <c r="Z77" s="33" t="str">
        <f>IFERROR(
  IF(
    OR(NOT(ISNUMBER(X77)),NOT(ISNUMBER(Y77))),
    "",
    IF(
      Y77&lt;0.05,
      IF(
        X77&gt;0,
        "Significant greater MAS reduction in NS",
        IF(X77&lt;0,"Significant greater MAS reduction in control","Significant difference, no mean direction")
      ),
      IF(
        X77&gt;0,
        "Not significant; descriptive trend favoring NS",
        IF(X77&lt;0,"Not significant; descriptive trend favoring control","Not significant; no mean difference")
      )
    )
  ),
  ""
)</f>
        <v>Not significant; descriptive trend favoring NS</v>
      </c>
      <c r="AA77" s="18"/>
      <c r="AB77" s="18"/>
      <c r="AR77" s="33"/>
      <c r="AS77" s="18"/>
      <c r="AT77" s="18"/>
      <c r="AU77" s="18"/>
      <c r="AV77" s="33"/>
      <c r="AW77" s="18"/>
      <c r="AX77" s="18"/>
      <c r="AY77" s="18"/>
      <c r="AZ77" s="18"/>
      <c r="BA77" s="18"/>
      <c r="BB77" s="18"/>
      <c r="BC77" s="18"/>
      <c r="BG77" s="33"/>
      <c r="BH77" s="33"/>
      <c r="BI77" s="33"/>
      <c r="BJ77" s="33"/>
      <c r="BK77" s="33"/>
      <c r="BL77" s="33"/>
      <c r="BM77" s="31"/>
      <c r="BN77" s="33"/>
      <c r="BO77" s="33"/>
      <c r="BP77" s="33"/>
      <c r="BQ77" s="33"/>
      <c r="BR77" s="33"/>
    </row>
    <row r="78" hidden="1">
      <c r="A78" s="23" t="s">
        <v>94</v>
      </c>
      <c r="B78" s="23" t="s">
        <v>185</v>
      </c>
      <c r="C78" s="29"/>
      <c r="D78" s="30"/>
      <c r="E78" s="30"/>
      <c r="F78" s="30"/>
      <c r="G78" s="31"/>
      <c r="H78" s="31"/>
      <c r="U78" s="35"/>
      <c r="W78" s="35"/>
      <c r="AC78" s="23" t="s">
        <v>186</v>
      </c>
      <c r="AE78" s="30"/>
      <c r="AF78" s="30"/>
      <c r="AG78" s="30"/>
      <c r="AH78" s="31"/>
      <c r="AI78" s="31"/>
      <c r="AP78" s="35"/>
      <c r="AR78" s="35"/>
      <c r="BA78" s="31"/>
      <c r="BB78" s="31"/>
      <c r="BC78" s="31"/>
      <c r="BE78" s="31"/>
      <c r="BF78" s="31"/>
      <c r="BG78" s="31"/>
      <c r="BH78" s="31"/>
      <c r="BI78" s="31"/>
      <c r="BJ78" s="31"/>
      <c r="BK78" s="31"/>
      <c r="BL78" s="31"/>
      <c r="BM78" s="31"/>
      <c r="BN78" s="31"/>
      <c r="BO78" s="31"/>
      <c r="BP78" s="31"/>
      <c r="BQ78" s="31"/>
      <c r="BR78" s="31"/>
    </row>
    <row r="79" hidden="1">
      <c r="A79" s="23" t="s">
        <v>97</v>
      </c>
      <c r="B79" s="23" t="s">
        <v>187</v>
      </c>
      <c r="C79" s="29"/>
      <c r="D79" s="30"/>
      <c r="E79" s="30"/>
      <c r="F79" s="30"/>
      <c r="G79" s="31"/>
      <c r="H79" s="31"/>
      <c r="U79" s="35"/>
      <c r="W79" s="35"/>
      <c r="AC79" s="23" t="s">
        <v>188</v>
      </c>
      <c r="AE79" s="30"/>
      <c r="AF79" s="30"/>
      <c r="AG79" s="30"/>
      <c r="AH79" s="31"/>
      <c r="AI79" s="31"/>
      <c r="AP79" s="35"/>
      <c r="AR79" s="35"/>
      <c r="BA79" s="31"/>
      <c r="BB79" s="31"/>
      <c r="BC79" s="31"/>
      <c r="BE79" s="31"/>
      <c r="BF79" s="31"/>
      <c r="BG79" s="31"/>
      <c r="BH79" s="31"/>
      <c r="BI79" s="31"/>
      <c r="BJ79" s="31"/>
      <c r="BK79" s="31"/>
      <c r="BL79" s="31"/>
      <c r="BM79" s="31"/>
      <c r="BN79" s="31"/>
      <c r="BO79" s="31"/>
      <c r="BP79" s="31"/>
      <c r="BQ79" s="31"/>
      <c r="BR79" s="31"/>
    </row>
    <row r="80" hidden="1">
      <c r="A80" s="23" t="s">
        <v>48</v>
      </c>
      <c r="B80" s="23" t="s">
        <v>189</v>
      </c>
      <c r="C80" s="29"/>
      <c r="D80" s="30"/>
      <c r="E80" s="30"/>
      <c r="F80" s="30"/>
      <c r="G80" s="31"/>
      <c r="H80" s="31"/>
      <c r="J80" s="23"/>
      <c r="U80" s="35"/>
      <c r="W80" s="35"/>
      <c r="AC80" s="23" t="s">
        <v>190</v>
      </c>
      <c r="AE80" s="30"/>
      <c r="AF80" s="30"/>
      <c r="AG80" s="30"/>
      <c r="AH80" s="31"/>
      <c r="AI80" s="31"/>
      <c r="AP80" s="35"/>
      <c r="AR80" s="35"/>
      <c r="BA80" s="31"/>
      <c r="BB80" s="31"/>
      <c r="BC80" s="31"/>
      <c r="BE80" s="31"/>
      <c r="BF80" s="31"/>
      <c r="BG80" s="31"/>
      <c r="BH80" s="31"/>
      <c r="BI80" s="31"/>
      <c r="BJ80" s="31"/>
      <c r="BK80" s="31"/>
      <c r="BL80" s="31"/>
      <c r="BM80" s="31"/>
      <c r="BN80" s="31"/>
      <c r="BO80" s="31"/>
      <c r="BP80" s="31"/>
      <c r="BQ80" s="31"/>
      <c r="BR80" s="31"/>
    </row>
    <row r="81" hidden="1">
      <c r="A81" s="23" t="s">
        <v>102</v>
      </c>
      <c r="B81" s="23" t="s">
        <v>191</v>
      </c>
      <c r="C81" s="29"/>
      <c r="D81" s="30"/>
      <c r="E81" s="30"/>
      <c r="F81" s="30"/>
      <c r="G81" s="31"/>
      <c r="H81" s="31"/>
      <c r="U81" s="35"/>
      <c r="W81" s="35"/>
      <c r="AC81" s="23" t="s">
        <v>192</v>
      </c>
      <c r="AE81" s="30"/>
      <c r="AF81" s="30"/>
      <c r="AG81" s="30"/>
      <c r="AH81" s="31"/>
      <c r="AI81" s="31"/>
      <c r="AP81" s="35"/>
      <c r="AR81" s="35"/>
      <c r="BA81" s="31"/>
      <c r="BB81" s="31"/>
      <c r="BC81" s="31"/>
      <c r="BE81" s="31"/>
      <c r="BF81" s="31"/>
      <c r="BG81" s="31"/>
      <c r="BH81" s="31"/>
      <c r="BI81" s="31"/>
      <c r="BJ81" s="31"/>
      <c r="BK81" s="31"/>
      <c r="BL81" s="31"/>
      <c r="BM81" s="31"/>
      <c r="BN81" s="31"/>
      <c r="BO81" s="31"/>
      <c r="BP81" s="31"/>
      <c r="BQ81" s="31"/>
      <c r="BR81" s="31"/>
    </row>
    <row r="82" hidden="1">
      <c r="A82" s="23" t="s">
        <v>94</v>
      </c>
      <c r="B82" s="23" t="s">
        <v>193</v>
      </c>
      <c r="C82" s="34"/>
      <c r="AC82" s="23" t="s">
        <v>194</v>
      </c>
    </row>
    <row r="83" hidden="1">
      <c r="A83" s="23" t="s">
        <v>97</v>
      </c>
      <c r="B83" s="23" t="s">
        <v>195</v>
      </c>
      <c r="C83" s="34"/>
      <c r="AC83" s="23" t="s">
        <v>196</v>
      </c>
    </row>
    <row r="84" hidden="1">
      <c r="A84" s="23" t="s">
        <v>48</v>
      </c>
      <c r="B84" s="23" t="s">
        <v>197</v>
      </c>
      <c r="C84" s="34"/>
      <c r="AC84" s="23" t="s">
        <v>198</v>
      </c>
    </row>
    <row r="85" hidden="1">
      <c r="A85" s="23" t="s">
        <v>102</v>
      </c>
      <c r="B85" s="23" t="s">
        <v>199</v>
      </c>
      <c r="C85" s="34"/>
      <c r="AC85" s="23" t="s">
        <v>200</v>
      </c>
    </row>
    <row r="86" hidden="1">
      <c r="A86" s="23" t="s">
        <v>94</v>
      </c>
      <c r="B86" s="23" t="s">
        <v>201</v>
      </c>
      <c r="C86" s="34"/>
      <c r="P86" s="16"/>
      <c r="Q86" s="16"/>
      <c r="AC86" s="23" t="s">
        <v>202</v>
      </c>
    </row>
    <row r="87" hidden="1">
      <c r="A87" s="23" t="s">
        <v>97</v>
      </c>
      <c r="B87" s="23" t="s">
        <v>203</v>
      </c>
      <c r="C87" s="34"/>
      <c r="AC87" s="23" t="s">
        <v>204</v>
      </c>
    </row>
    <row r="88" hidden="1">
      <c r="A88" s="23" t="s">
        <v>48</v>
      </c>
      <c r="B88" s="23" t="s">
        <v>205</v>
      </c>
      <c r="C88" s="34"/>
      <c r="AC88" s="23" t="s">
        <v>206</v>
      </c>
    </row>
    <row r="89" hidden="1">
      <c r="A89" s="23" t="s">
        <v>102</v>
      </c>
      <c r="B89" s="23" t="s">
        <v>207</v>
      </c>
      <c r="C89" s="34"/>
      <c r="AC89" s="23" t="s">
        <v>208</v>
      </c>
    </row>
    <row r="90" hidden="1">
      <c r="A90" s="23" t="s">
        <v>42</v>
      </c>
      <c r="B90" s="23" t="s">
        <v>209</v>
      </c>
      <c r="C90" s="34"/>
      <c r="AC90" s="23" t="s">
        <v>210</v>
      </c>
    </row>
    <row r="91" hidden="1">
      <c r="A91" s="23" t="s">
        <v>107</v>
      </c>
      <c r="B91" s="23" t="s">
        <v>211</v>
      </c>
      <c r="C91" s="34"/>
      <c r="AC91" s="23" t="s">
        <v>212</v>
      </c>
    </row>
    <row r="92" hidden="1">
      <c r="A92" s="23" t="s">
        <v>110</v>
      </c>
      <c r="B92" s="23" t="s">
        <v>213</v>
      </c>
      <c r="C92" s="34"/>
      <c r="AC92" s="23" t="s">
        <v>214</v>
      </c>
    </row>
    <row r="93" hidden="1">
      <c r="A93" s="23" t="s">
        <v>45</v>
      </c>
      <c r="B93" s="23" t="s">
        <v>215</v>
      </c>
      <c r="C93" s="34"/>
      <c r="AC93" s="23" t="s">
        <v>216</v>
      </c>
    </row>
    <row r="94" hidden="1">
      <c r="A94" s="23" t="s">
        <v>115</v>
      </c>
      <c r="B94" s="23" t="s">
        <v>217</v>
      </c>
      <c r="C94" s="34"/>
      <c r="AC94" s="23" t="s">
        <v>218</v>
      </c>
    </row>
    <row r="95" hidden="1">
      <c r="A95" s="23" t="s">
        <v>94</v>
      </c>
      <c r="B95" s="23" t="s">
        <v>219</v>
      </c>
      <c r="C95" s="34"/>
      <c r="AC95" s="23" t="s">
        <v>220</v>
      </c>
    </row>
    <row r="96" hidden="1">
      <c r="A96" s="23" t="s">
        <v>97</v>
      </c>
      <c r="B96" s="23" t="s">
        <v>221</v>
      </c>
      <c r="C96" s="34"/>
      <c r="AC96" s="23" t="s">
        <v>222</v>
      </c>
    </row>
    <row r="97" hidden="1">
      <c r="A97" s="23" t="s">
        <v>48</v>
      </c>
      <c r="B97" s="23" t="s">
        <v>223</v>
      </c>
      <c r="C97" s="34"/>
      <c r="AC97" s="23" t="s">
        <v>224</v>
      </c>
    </row>
    <row r="98" hidden="1">
      <c r="A98" s="23" t="s">
        <v>102</v>
      </c>
      <c r="B98" s="23" t="s">
        <v>225</v>
      </c>
      <c r="C98" s="34"/>
      <c r="AC98" s="23" t="s">
        <v>226</v>
      </c>
    </row>
    <row r="99" hidden="1">
      <c r="A99" s="23" t="s">
        <v>42</v>
      </c>
      <c r="B99" s="23" t="s">
        <v>227</v>
      </c>
      <c r="C99" s="34"/>
      <c r="AC99" s="23" t="s">
        <v>228</v>
      </c>
    </row>
    <row r="100" hidden="1">
      <c r="A100" s="23" t="s">
        <v>107</v>
      </c>
      <c r="B100" s="23" t="s">
        <v>229</v>
      </c>
      <c r="C100" s="34"/>
      <c r="AC100" s="23" t="s">
        <v>230</v>
      </c>
    </row>
    <row r="101" hidden="1">
      <c r="A101" s="23" t="s">
        <v>110</v>
      </c>
      <c r="B101" s="23" t="s">
        <v>231</v>
      </c>
      <c r="C101" s="34"/>
      <c r="AC101" s="23" t="s">
        <v>232</v>
      </c>
    </row>
    <row r="102" hidden="1">
      <c r="A102" s="23" t="s">
        <v>45</v>
      </c>
      <c r="B102" s="23" t="s">
        <v>233</v>
      </c>
      <c r="C102" s="34"/>
      <c r="AC102" s="23" t="s">
        <v>234</v>
      </c>
    </row>
    <row r="103" hidden="1">
      <c r="A103" s="23" t="s">
        <v>115</v>
      </c>
      <c r="B103" s="23" t="s">
        <v>235</v>
      </c>
      <c r="C103" s="34"/>
      <c r="AC103" s="23" t="s">
        <v>236</v>
      </c>
    </row>
    <row r="104" hidden="1">
      <c r="A104" s="23" t="s">
        <v>94</v>
      </c>
      <c r="B104" s="23" t="s">
        <v>237</v>
      </c>
      <c r="C104" s="34"/>
      <c r="AC104" s="23" t="s">
        <v>238</v>
      </c>
    </row>
    <row r="105" hidden="1">
      <c r="A105" s="23" t="s">
        <v>97</v>
      </c>
      <c r="B105" s="23" t="s">
        <v>239</v>
      </c>
      <c r="C105" s="34"/>
      <c r="AC105" s="23" t="s">
        <v>240</v>
      </c>
    </row>
    <row r="106" hidden="1">
      <c r="A106" s="23" t="s">
        <v>48</v>
      </c>
      <c r="B106" s="23" t="s">
        <v>241</v>
      </c>
      <c r="C106" s="34"/>
      <c r="AC106" s="23" t="s">
        <v>242</v>
      </c>
    </row>
    <row r="107" hidden="1">
      <c r="A107" s="23" t="s">
        <v>102</v>
      </c>
      <c r="B107" s="23" t="s">
        <v>243</v>
      </c>
      <c r="C107" s="34"/>
      <c r="AC107" s="23" t="s">
        <v>244</v>
      </c>
    </row>
    <row r="108" hidden="1">
      <c r="A108" s="23" t="s">
        <v>42</v>
      </c>
      <c r="B108" s="23" t="s">
        <v>245</v>
      </c>
      <c r="C108" s="34"/>
      <c r="AC108" s="23" t="s">
        <v>246</v>
      </c>
    </row>
    <row r="109" hidden="1">
      <c r="A109" s="23" t="s">
        <v>107</v>
      </c>
      <c r="B109" s="23" t="s">
        <v>247</v>
      </c>
      <c r="C109" s="34"/>
      <c r="AC109" s="23" t="s">
        <v>248</v>
      </c>
    </row>
    <row r="110" hidden="1">
      <c r="A110" s="23" t="s">
        <v>110</v>
      </c>
      <c r="B110" s="23" t="s">
        <v>249</v>
      </c>
      <c r="C110" s="34"/>
      <c r="AC110" s="23" t="s">
        <v>250</v>
      </c>
    </row>
    <row r="111" hidden="1">
      <c r="A111" s="23" t="s">
        <v>45</v>
      </c>
      <c r="B111" s="23" t="s">
        <v>251</v>
      </c>
      <c r="C111" s="34"/>
      <c r="AC111" s="23" t="s">
        <v>252</v>
      </c>
    </row>
    <row r="112" hidden="1">
      <c r="A112" s="23" t="s">
        <v>115</v>
      </c>
      <c r="B112" s="23" t="s">
        <v>253</v>
      </c>
      <c r="C112" s="34"/>
      <c r="AC112" s="23" t="s">
        <v>254</v>
      </c>
    </row>
    <row r="113" hidden="1">
      <c r="A113" s="23" t="s">
        <v>94</v>
      </c>
      <c r="B113" s="23" t="s">
        <v>255</v>
      </c>
      <c r="C113" s="34"/>
      <c r="AC113" s="23" t="s">
        <v>256</v>
      </c>
    </row>
    <row r="114" hidden="1">
      <c r="A114" s="23" t="s">
        <v>97</v>
      </c>
      <c r="B114" s="23" t="s">
        <v>257</v>
      </c>
      <c r="C114" s="34"/>
      <c r="AC114" s="23" t="s">
        <v>258</v>
      </c>
    </row>
    <row r="115" hidden="1">
      <c r="A115" s="23" t="s">
        <v>48</v>
      </c>
      <c r="B115" s="23" t="s">
        <v>259</v>
      </c>
      <c r="C115" s="34"/>
      <c r="AC115" s="23" t="s">
        <v>260</v>
      </c>
    </row>
    <row r="116" hidden="1">
      <c r="A116" s="23" t="s">
        <v>102</v>
      </c>
      <c r="B116" s="23" t="s">
        <v>261</v>
      </c>
      <c r="C116" s="34"/>
      <c r="AC116" s="23" t="s">
        <v>262</v>
      </c>
    </row>
    <row r="117">
      <c r="C117" s="34"/>
    </row>
    <row r="118">
      <c r="C118" s="34"/>
    </row>
    <row r="119">
      <c r="C119" s="34"/>
    </row>
    <row r="120">
      <c r="C120" s="34"/>
    </row>
    <row r="121">
      <c r="C121" s="34"/>
    </row>
    <row r="122">
      <c r="C122" s="34"/>
    </row>
    <row r="123">
      <c r="C123" s="34"/>
    </row>
    <row r="124">
      <c r="C124" s="34"/>
    </row>
    <row r="125">
      <c r="C125" s="34"/>
    </row>
    <row r="126">
      <c r="C126" s="34"/>
    </row>
    <row r="127">
      <c r="C127" s="34"/>
    </row>
    <row r="128">
      <c r="C128" s="34"/>
    </row>
    <row r="129">
      <c r="C129" s="34"/>
    </row>
    <row r="130">
      <c r="C130" s="34"/>
    </row>
    <row r="131">
      <c r="C131" s="34"/>
    </row>
    <row r="132">
      <c r="C132" s="34"/>
    </row>
    <row r="133">
      <c r="C133" s="34"/>
    </row>
    <row r="134">
      <c r="C134" s="34"/>
    </row>
    <row r="135">
      <c r="C135" s="34"/>
    </row>
    <row r="136">
      <c r="C136" s="34"/>
    </row>
    <row r="137">
      <c r="C137" s="34"/>
    </row>
    <row r="138">
      <c r="C138" s="34"/>
    </row>
    <row r="139">
      <c r="C139" s="34"/>
    </row>
    <row r="140">
      <c r="C140" s="34"/>
    </row>
    <row r="141">
      <c r="C141" s="34"/>
    </row>
    <row r="142">
      <c r="C142" s="34"/>
    </row>
    <row r="143">
      <c r="C143" s="34"/>
    </row>
    <row r="144">
      <c r="C144" s="34"/>
    </row>
    <row r="145">
      <c r="C145" s="34"/>
    </row>
    <row r="146">
      <c r="C146" s="34"/>
    </row>
    <row r="147">
      <c r="C147" s="34"/>
    </row>
    <row r="148">
      <c r="C148" s="34"/>
    </row>
    <row r="149">
      <c r="C149" s="34"/>
    </row>
    <row r="150">
      <c r="C150" s="34"/>
    </row>
    <row r="151">
      <c r="C151" s="34"/>
    </row>
    <row r="152">
      <c r="C152" s="34"/>
    </row>
    <row r="153">
      <c r="C153" s="34"/>
    </row>
    <row r="154">
      <c r="C154" s="34"/>
    </row>
    <row r="155">
      <c r="C155" s="34"/>
    </row>
    <row r="156">
      <c r="C156" s="34"/>
    </row>
    <row r="157">
      <c r="C157" s="34"/>
    </row>
    <row r="158">
      <c r="C158" s="34"/>
    </row>
    <row r="159">
      <c r="C159" s="34"/>
    </row>
    <row r="160">
      <c r="C160" s="34"/>
    </row>
    <row r="161">
      <c r="C161" s="34"/>
    </row>
    <row r="162">
      <c r="C162" s="34"/>
    </row>
    <row r="163">
      <c r="C163" s="34"/>
    </row>
    <row r="164">
      <c r="C164" s="34"/>
    </row>
    <row r="165">
      <c r="C165" s="34"/>
    </row>
    <row r="166">
      <c r="C166" s="34"/>
    </row>
    <row r="167">
      <c r="C167" s="34"/>
    </row>
    <row r="168">
      <c r="C168" s="34"/>
    </row>
    <row r="169">
      <c r="C169" s="34"/>
    </row>
    <row r="170">
      <c r="C170" s="34"/>
    </row>
    <row r="171">
      <c r="C171" s="34"/>
    </row>
    <row r="172">
      <c r="C172" s="34"/>
    </row>
    <row r="173">
      <c r="C173" s="34"/>
    </row>
    <row r="174">
      <c r="C174" s="34"/>
    </row>
    <row r="175">
      <c r="C175" s="34"/>
    </row>
    <row r="176">
      <c r="C176" s="34"/>
    </row>
    <row r="177">
      <c r="C177" s="34"/>
    </row>
    <row r="178">
      <c r="C178" s="34"/>
    </row>
    <row r="179">
      <c r="C179" s="34"/>
    </row>
    <row r="180">
      <c r="C180" s="34"/>
    </row>
    <row r="181">
      <c r="C181" s="34"/>
    </row>
    <row r="182">
      <c r="C182" s="34"/>
    </row>
    <row r="183">
      <c r="C183" s="34"/>
    </row>
    <row r="184">
      <c r="C184" s="34"/>
    </row>
    <row r="185">
      <c r="C185" s="34"/>
    </row>
    <row r="186">
      <c r="C186" s="34"/>
    </row>
    <row r="187">
      <c r="C187" s="34"/>
    </row>
    <row r="188">
      <c r="C188" s="34"/>
    </row>
    <row r="189">
      <c r="C189" s="34"/>
    </row>
    <row r="190">
      <c r="C190" s="34"/>
    </row>
    <row r="191">
      <c r="C191" s="34"/>
    </row>
    <row r="192">
      <c r="C192" s="34"/>
    </row>
    <row r="193">
      <c r="C193" s="34"/>
    </row>
    <row r="194">
      <c r="C194" s="34"/>
    </row>
    <row r="195">
      <c r="C195" s="34"/>
    </row>
    <row r="196">
      <c r="C196" s="34"/>
    </row>
    <row r="197">
      <c r="C197" s="34"/>
    </row>
    <row r="198">
      <c r="C198" s="34"/>
    </row>
    <row r="199">
      <c r="C199" s="34"/>
    </row>
    <row r="200">
      <c r="C200" s="34"/>
    </row>
    <row r="201">
      <c r="C201" s="34"/>
    </row>
    <row r="202">
      <c r="C202" s="34"/>
    </row>
    <row r="203">
      <c r="C203" s="34"/>
    </row>
    <row r="204">
      <c r="C204" s="34"/>
    </row>
    <row r="205">
      <c r="C205" s="34"/>
    </row>
    <row r="206">
      <c r="C206" s="34"/>
    </row>
    <row r="207">
      <c r="C207" s="34"/>
    </row>
    <row r="208">
      <c r="C208" s="34"/>
    </row>
    <row r="209">
      <c r="C209" s="34"/>
    </row>
    <row r="210">
      <c r="C210" s="34"/>
    </row>
    <row r="211">
      <c r="C211" s="34"/>
    </row>
    <row r="212">
      <c r="C212" s="34"/>
    </row>
    <row r="213">
      <c r="C213" s="34"/>
    </row>
    <row r="214">
      <c r="C214" s="34"/>
    </row>
    <row r="215">
      <c r="C215" s="34"/>
    </row>
    <row r="216">
      <c r="C216" s="34"/>
    </row>
    <row r="217">
      <c r="C217" s="34"/>
    </row>
    <row r="218">
      <c r="C218" s="34"/>
    </row>
    <row r="219">
      <c r="C219" s="34"/>
    </row>
    <row r="220">
      <c r="C220" s="34"/>
    </row>
    <row r="221">
      <c r="C221" s="34"/>
    </row>
    <row r="222">
      <c r="C222" s="34"/>
    </row>
    <row r="223">
      <c r="C223" s="34"/>
    </row>
    <row r="224">
      <c r="C224" s="34"/>
    </row>
    <row r="225">
      <c r="C225" s="34"/>
    </row>
    <row r="226">
      <c r="C226" s="34"/>
    </row>
    <row r="227">
      <c r="C227" s="34"/>
    </row>
    <row r="228">
      <c r="C228" s="34"/>
    </row>
    <row r="229">
      <c r="C229" s="34"/>
    </row>
    <row r="230">
      <c r="C230" s="34"/>
    </row>
    <row r="231">
      <c r="C231" s="34"/>
    </row>
    <row r="232">
      <c r="C232" s="34"/>
    </row>
    <row r="233">
      <c r="C233" s="34"/>
    </row>
    <row r="234">
      <c r="C234" s="34"/>
    </row>
    <row r="235">
      <c r="C235" s="34"/>
    </row>
    <row r="236">
      <c r="C236" s="34"/>
    </row>
    <row r="237">
      <c r="C237" s="34"/>
    </row>
    <row r="238">
      <c r="C238" s="34"/>
    </row>
    <row r="239">
      <c r="C239" s="34"/>
    </row>
    <row r="240">
      <c r="C240" s="34"/>
    </row>
    <row r="241">
      <c r="C241" s="34"/>
    </row>
    <row r="242">
      <c r="C242" s="34"/>
    </row>
    <row r="243">
      <c r="C243" s="34"/>
    </row>
    <row r="244">
      <c r="C244" s="34"/>
    </row>
    <row r="245">
      <c r="C245" s="34"/>
    </row>
    <row r="246">
      <c r="C246" s="34"/>
    </row>
    <row r="247">
      <c r="C247" s="34"/>
    </row>
    <row r="248">
      <c r="C248" s="34"/>
    </row>
    <row r="249">
      <c r="C249" s="34"/>
    </row>
    <row r="250">
      <c r="C250" s="34"/>
    </row>
    <row r="251">
      <c r="C251" s="34"/>
    </row>
    <row r="252">
      <c r="C252" s="34"/>
    </row>
    <row r="253">
      <c r="C253" s="34"/>
    </row>
    <row r="254">
      <c r="C254" s="34"/>
    </row>
    <row r="255">
      <c r="C255" s="34"/>
    </row>
    <row r="256">
      <c r="C256" s="34"/>
    </row>
    <row r="257">
      <c r="C257" s="34"/>
    </row>
    <row r="258">
      <c r="C258" s="34"/>
    </row>
    <row r="259">
      <c r="C259" s="34"/>
    </row>
    <row r="260">
      <c r="C260" s="34"/>
    </row>
    <row r="261">
      <c r="C261" s="34"/>
    </row>
    <row r="262">
      <c r="C262" s="34"/>
    </row>
    <row r="263">
      <c r="C263" s="34"/>
    </row>
    <row r="264">
      <c r="C264" s="34"/>
    </row>
    <row r="265">
      <c r="C265" s="34"/>
    </row>
    <row r="266">
      <c r="C266" s="34"/>
    </row>
    <row r="267">
      <c r="C267" s="34"/>
    </row>
    <row r="268">
      <c r="C268" s="34"/>
    </row>
    <row r="269">
      <c r="C269" s="34"/>
    </row>
    <row r="270">
      <c r="C270" s="34"/>
    </row>
    <row r="271">
      <c r="C271" s="34"/>
    </row>
    <row r="272">
      <c r="C272" s="34"/>
    </row>
    <row r="273">
      <c r="C273" s="34"/>
    </row>
    <row r="274">
      <c r="C274" s="34"/>
    </row>
    <row r="275">
      <c r="C275" s="34"/>
    </row>
    <row r="276">
      <c r="C276" s="34"/>
    </row>
    <row r="277">
      <c r="C277" s="34"/>
    </row>
    <row r="278">
      <c r="C278" s="34"/>
    </row>
    <row r="279">
      <c r="C279" s="34"/>
    </row>
    <row r="280">
      <c r="C280" s="34"/>
    </row>
    <row r="281">
      <c r="C281" s="34"/>
    </row>
    <row r="282">
      <c r="C282" s="34"/>
    </row>
    <row r="283">
      <c r="C283" s="34"/>
    </row>
    <row r="284">
      <c r="C284" s="34"/>
    </row>
    <row r="285">
      <c r="C285" s="34"/>
    </row>
    <row r="286">
      <c r="C286" s="34"/>
    </row>
    <row r="287">
      <c r="C287" s="34"/>
    </row>
    <row r="288">
      <c r="C288" s="34"/>
    </row>
    <row r="289">
      <c r="C289" s="34"/>
    </row>
    <row r="290">
      <c r="C290" s="34"/>
    </row>
    <row r="291">
      <c r="C291" s="34"/>
    </row>
    <row r="292">
      <c r="C292" s="34"/>
    </row>
    <row r="293">
      <c r="C293" s="34"/>
    </row>
    <row r="294">
      <c r="C294" s="34"/>
    </row>
    <row r="295">
      <c r="C295" s="34"/>
    </row>
    <row r="296">
      <c r="C296" s="34"/>
    </row>
    <row r="297">
      <c r="C297" s="34"/>
    </row>
    <row r="298">
      <c r="C298" s="34"/>
    </row>
    <row r="299">
      <c r="C299" s="34"/>
    </row>
    <row r="300">
      <c r="C300" s="34"/>
    </row>
    <row r="301">
      <c r="C301" s="34"/>
    </row>
    <row r="302">
      <c r="C302" s="34"/>
    </row>
    <row r="303">
      <c r="C303" s="34"/>
    </row>
    <row r="304">
      <c r="C304" s="34"/>
    </row>
    <row r="305">
      <c r="C305" s="34"/>
    </row>
    <row r="306">
      <c r="C306" s="34"/>
    </row>
    <row r="307">
      <c r="C307" s="34"/>
    </row>
    <row r="308">
      <c r="C308" s="34"/>
    </row>
    <row r="309">
      <c r="C309" s="34"/>
    </row>
    <row r="310">
      <c r="C310" s="34"/>
    </row>
    <row r="311">
      <c r="C311" s="34"/>
    </row>
    <row r="312">
      <c r="C312" s="34"/>
    </row>
    <row r="313">
      <c r="C313" s="34"/>
    </row>
    <row r="314">
      <c r="C314" s="34"/>
    </row>
    <row r="315">
      <c r="C315" s="34"/>
    </row>
    <row r="316">
      <c r="C316" s="34"/>
    </row>
    <row r="317">
      <c r="C317" s="34"/>
    </row>
    <row r="318">
      <c r="C318" s="34"/>
    </row>
    <row r="319">
      <c r="C319" s="34"/>
    </row>
    <row r="320">
      <c r="C320" s="34"/>
    </row>
    <row r="321">
      <c r="C321" s="34"/>
    </row>
    <row r="322">
      <c r="C322" s="34"/>
    </row>
    <row r="323">
      <c r="C323" s="34"/>
    </row>
    <row r="324">
      <c r="C324" s="34"/>
    </row>
    <row r="325">
      <c r="C325" s="34"/>
    </row>
    <row r="326">
      <c r="C326" s="34"/>
    </row>
    <row r="327">
      <c r="C327" s="34"/>
    </row>
    <row r="328">
      <c r="C328" s="34"/>
    </row>
    <row r="329">
      <c r="C329" s="34"/>
    </row>
    <row r="330">
      <c r="C330" s="34"/>
    </row>
    <row r="331">
      <c r="C331" s="34"/>
    </row>
    <row r="332">
      <c r="C332" s="34"/>
    </row>
    <row r="333">
      <c r="C333" s="34"/>
    </row>
    <row r="334">
      <c r="C334" s="34"/>
    </row>
    <row r="335">
      <c r="C335" s="34"/>
    </row>
    <row r="336">
      <c r="C336" s="34"/>
    </row>
    <row r="337">
      <c r="C337" s="34"/>
    </row>
    <row r="338">
      <c r="C338" s="34"/>
    </row>
    <row r="339">
      <c r="C339" s="34"/>
    </row>
    <row r="340">
      <c r="C340" s="34"/>
    </row>
    <row r="341">
      <c r="C341" s="34"/>
    </row>
    <row r="342">
      <c r="C342" s="34"/>
    </row>
    <row r="343">
      <c r="C343" s="34"/>
    </row>
    <row r="344">
      <c r="C344" s="34"/>
    </row>
    <row r="345">
      <c r="C345" s="34"/>
    </row>
    <row r="346">
      <c r="C346" s="34"/>
    </row>
    <row r="347">
      <c r="C347" s="34"/>
    </row>
    <row r="348">
      <c r="C348" s="34"/>
    </row>
    <row r="349">
      <c r="C349" s="34"/>
    </row>
    <row r="350">
      <c r="C350" s="34"/>
    </row>
    <row r="351">
      <c r="C351" s="34"/>
    </row>
    <row r="352">
      <c r="C352" s="34"/>
    </row>
    <row r="353">
      <c r="C353" s="34"/>
    </row>
    <row r="354">
      <c r="C354" s="34"/>
    </row>
    <row r="355">
      <c r="C355" s="34"/>
    </row>
    <row r="356">
      <c r="C356" s="34"/>
    </row>
    <row r="357">
      <c r="C357" s="34"/>
    </row>
    <row r="358">
      <c r="C358" s="34"/>
    </row>
    <row r="359">
      <c r="C359" s="34"/>
    </row>
    <row r="360">
      <c r="C360" s="34"/>
    </row>
    <row r="361">
      <c r="C361" s="34"/>
    </row>
    <row r="362">
      <c r="C362" s="34"/>
    </row>
    <row r="363">
      <c r="C363" s="34"/>
    </row>
    <row r="364">
      <c r="C364" s="34"/>
    </row>
    <row r="365">
      <c r="C365" s="34"/>
    </row>
    <row r="366">
      <c r="C366" s="34"/>
    </row>
    <row r="367">
      <c r="C367" s="34"/>
    </row>
    <row r="368">
      <c r="C368" s="34"/>
    </row>
    <row r="369">
      <c r="C369" s="34"/>
    </row>
    <row r="370">
      <c r="C370" s="34"/>
    </row>
    <row r="371">
      <c r="C371" s="34"/>
    </row>
    <row r="372">
      <c r="C372" s="34"/>
    </row>
    <row r="373">
      <c r="C373" s="34"/>
    </row>
    <row r="374">
      <c r="C374" s="34"/>
    </row>
    <row r="375">
      <c r="C375" s="34"/>
    </row>
    <row r="376">
      <c r="C376" s="34"/>
    </row>
    <row r="377">
      <c r="C377" s="34"/>
    </row>
    <row r="378">
      <c r="C378" s="34"/>
    </row>
    <row r="379">
      <c r="C379" s="34"/>
    </row>
    <row r="380">
      <c r="C380" s="34"/>
    </row>
    <row r="381">
      <c r="C381" s="34"/>
    </row>
    <row r="382">
      <c r="C382" s="34"/>
    </row>
    <row r="383">
      <c r="C383" s="34"/>
    </row>
    <row r="384">
      <c r="C384" s="34"/>
    </row>
    <row r="385">
      <c r="C385" s="34"/>
    </row>
    <row r="386">
      <c r="C386" s="34"/>
    </row>
    <row r="387">
      <c r="C387" s="34"/>
    </row>
    <row r="388">
      <c r="C388" s="34"/>
    </row>
    <row r="389">
      <c r="C389" s="34"/>
    </row>
    <row r="390">
      <c r="C390" s="34"/>
    </row>
    <row r="391">
      <c r="C391" s="34"/>
    </row>
    <row r="392">
      <c r="C392" s="34"/>
    </row>
    <row r="393">
      <c r="C393" s="34"/>
    </row>
    <row r="394">
      <c r="C394" s="34"/>
    </row>
    <row r="395">
      <c r="C395" s="34"/>
    </row>
    <row r="396">
      <c r="C396" s="34"/>
    </row>
    <row r="397">
      <c r="C397" s="34"/>
    </row>
    <row r="398">
      <c r="C398" s="34"/>
    </row>
    <row r="399">
      <c r="C399" s="34"/>
    </row>
    <row r="400">
      <c r="C400" s="34"/>
    </row>
    <row r="401">
      <c r="C401" s="34"/>
    </row>
    <row r="402">
      <c r="C402" s="34"/>
    </row>
    <row r="403">
      <c r="C403" s="34"/>
    </row>
    <row r="404">
      <c r="C404" s="34"/>
    </row>
    <row r="405">
      <c r="C405" s="34"/>
    </row>
    <row r="406">
      <c r="C406" s="34"/>
    </row>
    <row r="407">
      <c r="C407" s="34"/>
    </row>
    <row r="408">
      <c r="C408" s="34"/>
    </row>
    <row r="409">
      <c r="C409" s="34"/>
    </row>
    <row r="410">
      <c r="C410" s="34"/>
    </row>
    <row r="411">
      <c r="C411" s="34"/>
    </row>
    <row r="412">
      <c r="C412" s="34"/>
    </row>
    <row r="413">
      <c r="C413" s="34"/>
    </row>
    <row r="414">
      <c r="C414" s="34"/>
    </row>
    <row r="415">
      <c r="C415" s="34"/>
    </row>
    <row r="416">
      <c r="C416" s="34"/>
    </row>
    <row r="417">
      <c r="C417" s="34"/>
    </row>
    <row r="418">
      <c r="C418" s="34"/>
    </row>
    <row r="419">
      <c r="C419" s="34"/>
    </row>
    <row r="420">
      <c r="C420" s="34"/>
    </row>
    <row r="421">
      <c r="C421" s="34"/>
    </row>
    <row r="422">
      <c r="C422" s="34"/>
    </row>
    <row r="423">
      <c r="C423" s="34"/>
    </row>
    <row r="424">
      <c r="C424" s="34"/>
    </row>
    <row r="425">
      <c r="C425" s="34"/>
    </row>
    <row r="426">
      <c r="C426" s="34"/>
    </row>
    <row r="427">
      <c r="C427" s="34"/>
    </row>
    <row r="428">
      <c r="C428" s="34"/>
    </row>
    <row r="429">
      <c r="C429" s="34"/>
    </row>
    <row r="430">
      <c r="C430" s="34"/>
    </row>
    <row r="431">
      <c r="C431" s="34"/>
    </row>
    <row r="432">
      <c r="C432" s="34"/>
    </row>
    <row r="433">
      <c r="C433" s="34"/>
    </row>
    <row r="434">
      <c r="C434" s="34"/>
    </row>
    <row r="435">
      <c r="C435" s="34"/>
    </row>
    <row r="436">
      <c r="C436" s="34"/>
    </row>
    <row r="437">
      <c r="C437" s="34"/>
    </row>
    <row r="438">
      <c r="C438" s="34"/>
    </row>
    <row r="439">
      <c r="C439" s="34"/>
    </row>
    <row r="440">
      <c r="C440" s="34"/>
    </row>
    <row r="441">
      <c r="C441" s="34"/>
    </row>
    <row r="442">
      <c r="C442" s="34"/>
    </row>
    <row r="443">
      <c r="C443" s="34"/>
    </row>
    <row r="444">
      <c r="C444" s="34"/>
    </row>
    <row r="445">
      <c r="C445" s="34"/>
    </row>
    <row r="446">
      <c r="C446" s="34"/>
    </row>
    <row r="447">
      <c r="C447" s="34"/>
    </row>
    <row r="448">
      <c r="C448" s="34"/>
    </row>
    <row r="449">
      <c r="C449" s="34"/>
    </row>
    <row r="450">
      <c r="C450" s="34"/>
    </row>
    <row r="451">
      <c r="C451" s="34"/>
    </row>
    <row r="452">
      <c r="C452" s="34"/>
    </row>
    <row r="453">
      <c r="C453" s="34"/>
    </row>
    <row r="454">
      <c r="C454" s="34"/>
    </row>
    <row r="455">
      <c r="C455" s="34"/>
    </row>
    <row r="456">
      <c r="C456" s="34"/>
    </row>
    <row r="457">
      <c r="C457" s="34"/>
    </row>
    <row r="458">
      <c r="C458" s="34"/>
    </row>
    <row r="459">
      <c r="C459" s="34"/>
    </row>
    <row r="460">
      <c r="C460" s="34"/>
    </row>
    <row r="461">
      <c r="C461" s="34"/>
    </row>
    <row r="462">
      <c r="C462" s="34"/>
    </row>
    <row r="463">
      <c r="C463" s="34"/>
    </row>
    <row r="464">
      <c r="C464" s="34"/>
    </row>
    <row r="465">
      <c r="C465" s="34"/>
    </row>
    <row r="466">
      <c r="C466" s="34"/>
    </row>
    <row r="467">
      <c r="C467" s="34"/>
    </row>
    <row r="468">
      <c r="C468" s="34"/>
    </row>
    <row r="469">
      <c r="C469" s="34"/>
    </row>
    <row r="470">
      <c r="C470" s="34"/>
    </row>
    <row r="471">
      <c r="C471" s="34"/>
    </row>
    <row r="472">
      <c r="C472" s="34"/>
    </row>
    <row r="473">
      <c r="C473" s="34"/>
    </row>
    <row r="474">
      <c r="C474" s="34"/>
    </row>
    <row r="475">
      <c r="C475" s="34"/>
    </row>
    <row r="476">
      <c r="C476" s="34"/>
    </row>
    <row r="477">
      <c r="C477" s="34"/>
    </row>
    <row r="478">
      <c r="C478" s="34"/>
    </row>
    <row r="479">
      <c r="C479" s="34"/>
    </row>
    <row r="480">
      <c r="C480" s="34"/>
    </row>
    <row r="481">
      <c r="C481" s="34"/>
    </row>
    <row r="482">
      <c r="C482" s="34"/>
    </row>
    <row r="483">
      <c r="C483" s="34"/>
    </row>
    <row r="484">
      <c r="C484" s="34"/>
    </row>
    <row r="485">
      <c r="C485" s="34"/>
    </row>
    <row r="486">
      <c r="C486" s="34"/>
    </row>
    <row r="487">
      <c r="C487" s="34"/>
    </row>
    <row r="488">
      <c r="C488" s="34"/>
    </row>
    <row r="489">
      <c r="C489" s="34"/>
    </row>
    <row r="490">
      <c r="C490" s="34"/>
    </row>
    <row r="491">
      <c r="C491" s="34"/>
    </row>
    <row r="492">
      <c r="C492" s="34"/>
    </row>
    <row r="493">
      <c r="C493" s="34"/>
    </row>
    <row r="494">
      <c r="C494" s="34"/>
    </row>
    <row r="495">
      <c r="C495" s="34"/>
    </row>
    <row r="496">
      <c r="C496" s="34"/>
    </row>
    <row r="497">
      <c r="C497" s="34"/>
    </row>
    <row r="498">
      <c r="C498" s="34"/>
    </row>
    <row r="499">
      <c r="C499" s="34"/>
    </row>
    <row r="500">
      <c r="C500" s="34"/>
    </row>
    <row r="501">
      <c r="C501" s="34"/>
    </row>
    <row r="502">
      <c r="C502" s="34"/>
    </row>
    <row r="503">
      <c r="C503" s="34"/>
    </row>
    <row r="504">
      <c r="C504" s="34"/>
    </row>
    <row r="505">
      <c r="C505" s="34"/>
    </row>
    <row r="506">
      <c r="C506" s="34"/>
    </row>
    <row r="507">
      <c r="C507" s="34"/>
    </row>
    <row r="508">
      <c r="C508" s="34"/>
    </row>
    <row r="509">
      <c r="C509" s="34"/>
    </row>
    <row r="510">
      <c r="C510" s="34"/>
    </row>
    <row r="511">
      <c r="C511" s="34"/>
    </row>
    <row r="512">
      <c r="C512" s="34"/>
    </row>
    <row r="513">
      <c r="C513" s="34"/>
    </row>
    <row r="514">
      <c r="C514" s="34"/>
    </row>
    <row r="515">
      <c r="C515" s="34"/>
    </row>
    <row r="516">
      <c r="C516" s="34"/>
    </row>
    <row r="517">
      <c r="C517" s="34"/>
    </row>
    <row r="518">
      <c r="C518" s="34"/>
    </row>
    <row r="519">
      <c r="C519" s="34"/>
    </row>
    <row r="520">
      <c r="C520" s="34"/>
    </row>
    <row r="521">
      <c r="C521" s="34"/>
    </row>
    <row r="522">
      <c r="C522" s="34"/>
    </row>
    <row r="523">
      <c r="C523" s="34"/>
    </row>
    <row r="524">
      <c r="C524" s="34"/>
    </row>
    <row r="525">
      <c r="C525" s="34"/>
    </row>
    <row r="526">
      <c r="C526" s="34"/>
    </row>
    <row r="527">
      <c r="C527" s="34"/>
    </row>
    <row r="528">
      <c r="C528" s="34"/>
    </row>
    <row r="529">
      <c r="C529" s="34"/>
    </row>
    <row r="530">
      <c r="C530" s="34"/>
    </row>
    <row r="531">
      <c r="C531" s="34"/>
    </row>
    <row r="532">
      <c r="C532" s="34"/>
    </row>
    <row r="533">
      <c r="C533" s="34"/>
    </row>
    <row r="534">
      <c r="C534" s="34"/>
    </row>
    <row r="535">
      <c r="C535" s="34"/>
    </row>
    <row r="536">
      <c r="C536" s="34"/>
    </row>
    <row r="537">
      <c r="C537" s="34"/>
    </row>
    <row r="538">
      <c r="C538" s="34"/>
    </row>
    <row r="539">
      <c r="C539" s="34"/>
    </row>
    <row r="540">
      <c r="C540" s="34"/>
    </row>
    <row r="541">
      <c r="C541" s="34"/>
    </row>
    <row r="542">
      <c r="C542" s="34"/>
    </row>
    <row r="543">
      <c r="C543" s="34"/>
    </row>
    <row r="544">
      <c r="C544" s="34"/>
    </row>
    <row r="545">
      <c r="C545" s="34"/>
    </row>
    <row r="546">
      <c r="C546" s="34"/>
    </row>
    <row r="547">
      <c r="C547" s="34"/>
    </row>
    <row r="548">
      <c r="C548" s="34"/>
    </row>
    <row r="549">
      <c r="C549" s="34"/>
    </row>
    <row r="550">
      <c r="C550" s="34"/>
    </row>
    <row r="551">
      <c r="C551" s="34"/>
    </row>
    <row r="552">
      <c r="C552" s="34"/>
    </row>
    <row r="553">
      <c r="C553" s="34"/>
    </row>
    <row r="554">
      <c r="C554" s="34"/>
    </row>
    <row r="555">
      <c r="C555" s="34"/>
    </row>
    <row r="556">
      <c r="C556" s="34"/>
    </row>
    <row r="557">
      <c r="C557" s="34"/>
    </row>
    <row r="558">
      <c r="C558" s="34"/>
    </row>
    <row r="559">
      <c r="C559" s="34"/>
    </row>
    <row r="560">
      <c r="C560" s="34"/>
    </row>
    <row r="561">
      <c r="C561" s="34"/>
    </row>
    <row r="562">
      <c r="C562" s="34"/>
    </row>
    <row r="563">
      <c r="C563" s="34"/>
    </row>
    <row r="564">
      <c r="C564" s="34"/>
    </row>
    <row r="565">
      <c r="C565" s="34"/>
    </row>
    <row r="566">
      <c r="C566" s="34"/>
    </row>
    <row r="567">
      <c r="C567" s="34"/>
    </row>
    <row r="568">
      <c r="C568" s="34"/>
    </row>
    <row r="569">
      <c r="C569" s="34"/>
    </row>
    <row r="570">
      <c r="C570" s="34"/>
    </row>
    <row r="571">
      <c r="C571" s="34"/>
    </row>
    <row r="572">
      <c r="C572" s="34"/>
    </row>
    <row r="573">
      <c r="C573" s="34"/>
    </row>
    <row r="574">
      <c r="C574" s="34"/>
    </row>
    <row r="575">
      <c r="C575" s="34"/>
    </row>
    <row r="576">
      <c r="C576" s="34"/>
    </row>
    <row r="577">
      <c r="C577" s="34"/>
    </row>
    <row r="578">
      <c r="C578" s="34"/>
    </row>
    <row r="579">
      <c r="C579" s="34"/>
    </row>
    <row r="580">
      <c r="C580" s="34"/>
    </row>
    <row r="581">
      <c r="C581" s="34"/>
    </row>
    <row r="582">
      <c r="C582" s="34"/>
    </row>
    <row r="583">
      <c r="C583" s="34"/>
    </row>
    <row r="584">
      <c r="C584" s="34"/>
    </row>
    <row r="585">
      <c r="C585" s="34"/>
    </row>
    <row r="586">
      <c r="C586" s="34"/>
    </row>
    <row r="587">
      <c r="C587" s="34"/>
    </row>
    <row r="588">
      <c r="C588" s="34"/>
    </row>
    <row r="589">
      <c r="C589" s="34"/>
    </row>
    <row r="590">
      <c r="C590" s="34"/>
    </row>
    <row r="591">
      <c r="C591" s="34"/>
    </row>
    <row r="592">
      <c r="C592" s="34"/>
    </row>
    <row r="593">
      <c r="C593" s="34"/>
    </row>
    <row r="594">
      <c r="C594" s="34"/>
    </row>
    <row r="595">
      <c r="C595" s="34"/>
    </row>
    <row r="596">
      <c r="C596" s="34"/>
    </row>
    <row r="597">
      <c r="C597" s="34"/>
    </row>
    <row r="598">
      <c r="C598" s="34"/>
    </row>
    <row r="599">
      <c r="C599" s="34"/>
    </row>
    <row r="600">
      <c r="C600" s="34"/>
    </row>
    <row r="601">
      <c r="C601" s="34"/>
    </row>
    <row r="602">
      <c r="C602" s="34"/>
    </row>
    <row r="603">
      <c r="C603" s="34"/>
    </row>
    <row r="604">
      <c r="C604" s="34"/>
    </row>
    <row r="605">
      <c r="C605" s="34"/>
    </row>
    <row r="606">
      <c r="C606" s="34"/>
    </row>
    <row r="607">
      <c r="C607" s="34"/>
    </row>
    <row r="608">
      <c r="C608" s="34"/>
    </row>
    <row r="609">
      <c r="C609" s="34"/>
    </row>
    <row r="610">
      <c r="C610" s="34"/>
    </row>
    <row r="611">
      <c r="C611" s="34"/>
    </row>
    <row r="612">
      <c r="C612" s="34"/>
    </row>
    <row r="613">
      <c r="C613" s="34"/>
    </row>
    <row r="614">
      <c r="C614" s="34"/>
    </row>
    <row r="615">
      <c r="C615" s="34"/>
    </row>
    <row r="616">
      <c r="C616" s="34"/>
    </row>
    <row r="617">
      <c r="C617" s="34"/>
    </row>
    <row r="618">
      <c r="C618" s="34"/>
    </row>
    <row r="619">
      <c r="C619" s="34"/>
    </row>
    <row r="620">
      <c r="C620" s="34"/>
    </row>
    <row r="621">
      <c r="C621" s="34"/>
    </row>
    <row r="622">
      <c r="C622" s="34"/>
    </row>
    <row r="623">
      <c r="C623" s="34"/>
    </row>
    <row r="624">
      <c r="C624" s="34"/>
    </row>
    <row r="625">
      <c r="C625" s="34"/>
    </row>
    <row r="626">
      <c r="C626" s="34"/>
    </row>
    <row r="627">
      <c r="C627" s="34"/>
    </row>
    <row r="628">
      <c r="C628" s="34"/>
    </row>
    <row r="629">
      <c r="C629" s="34"/>
    </row>
    <row r="630">
      <c r="C630" s="34"/>
    </row>
    <row r="631">
      <c r="C631" s="34"/>
    </row>
    <row r="632">
      <c r="C632" s="34"/>
    </row>
    <row r="633">
      <c r="C633" s="34"/>
    </row>
    <row r="634">
      <c r="C634" s="34"/>
    </row>
    <row r="635">
      <c r="C635" s="34"/>
    </row>
    <row r="636">
      <c r="C636" s="34"/>
    </row>
    <row r="637">
      <c r="C637" s="34"/>
    </row>
    <row r="638">
      <c r="C638" s="34"/>
    </row>
    <row r="639">
      <c r="C639" s="34"/>
    </row>
    <row r="640">
      <c r="C640" s="34"/>
    </row>
    <row r="641">
      <c r="C641" s="34"/>
    </row>
    <row r="642">
      <c r="C642" s="34"/>
    </row>
    <row r="643">
      <c r="C643" s="34"/>
    </row>
    <row r="644">
      <c r="C644" s="34"/>
    </row>
    <row r="645">
      <c r="C645" s="34"/>
    </row>
    <row r="646">
      <c r="C646" s="34"/>
    </row>
    <row r="647">
      <c r="C647" s="34"/>
    </row>
    <row r="648">
      <c r="C648" s="34"/>
    </row>
    <row r="649">
      <c r="C649" s="34"/>
    </row>
    <row r="650">
      <c r="C650" s="34"/>
    </row>
    <row r="651">
      <c r="C651" s="34"/>
    </row>
    <row r="652">
      <c r="C652" s="34"/>
    </row>
    <row r="653">
      <c r="C653" s="34"/>
    </row>
    <row r="654">
      <c r="C654" s="34"/>
    </row>
    <row r="655">
      <c r="C655" s="34"/>
    </row>
    <row r="656">
      <c r="C656" s="34"/>
    </row>
    <row r="657">
      <c r="C657" s="34"/>
    </row>
    <row r="658">
      <c r="C658" s="34"/>
    </row>
    <row r="659">
      <c r="C659" s="34"/>
    </row>
    <row r="660">
      <c r="C660" s="34"/>
    </row>
    <row r="661">
      <c r="C661" s="34"/>
    </row>
    <row r="662">
      <c r="C662" s="34"/>
    </row>
    <row r="663">
      <c r="C663" s="34"/>
    </row>
    <row r="664">
      <c r="C664" s="34"/>
    </row>
    <row r="665">
      <c r="C665" s="34"/>
    </row>
    <row r="666">
      <c r="C666" s="34"/>
    </row>
    <row r="667">
      <c r="C667" s="34"/>
    </row>
    <row r="668">
      <c r="C668" s="34"/>
    </row>
    <row r="669">
      <c r="C669" s="34"/>
    </row>
    <row r="670">
      <c r="C670" s="34"/>
    </row>
    <row r="671">
      <c r="C671" s="34"/>
    </row>
    <row r="672">
      <c r="C672" s="34"/>
    </row>
    <row r="673">
      <c r="C673" s="34"/>
    </row>
    <row r="674">
      <c r="C674" s="34"/>
    </row>
    <row r="675">
      <c r="C675" s="34"/>
    </row>
    <row r="676">
      <c r="C676" s="34"/>
    </row>
    <row r="677">
      <c r="C677" s="34"/>
    </row>
    <row r="678">
      <c r="C678" s="34"/>
    </row>
    <row r="679">
      <c r="C679" s="34"/>
    </row>
    <row r="680">
      <c r="C680" s="34"/>
    </row>
    <row r="681">
      <c r="C681" s="34"/>
    </row>
    <row r="682">
      <c r="C682" s="34"/>
    </row>
    <row r="683">
      <c r="C683" s="34"/>
    </row>
    <row r="684">
      <c r="C684" s="34"/>
    </row>
    <row r="685">
      <c r="C685" s="34"/>
    </row>
    <row r="686">
      <c r="C686" s="34"/>
    </row>
    <row r="687">
      <c r="C687" s="34"/>
    </row>
    <row r="688">
      <c r="C688" s="34"/>
    </row>
    <row r="689">
      <c r="C689" s="34"/>
    </row>
    <row r="690">
      <c r="C690" s="34"/>
    </row>
    <row r="691">
      <c r="C691" s="34"/>
    </row>
    <row r="692">
      <c r="C692" s="34"/>
    </row>
    <row r="693">
      <c r="C693" s="34"/>
    </row>
    <row r="694">
      <c r="C694" s="34"/>
    </row>
    <row r="695">
      <c r="C695" s="34"/>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row r="905">
      <c r="C905" s="34"/>
    </row>
    <row r="906">
      <c r="C906" s="34"/>
    </row>
    <row r="907">
      <c r="C907" s="34"/>
    </row>
    <row r="908">
      <c r="C908" s="34"/>
    </row>
    <row r="909">
      <c r="C909" s="34"/>
    </row>
    <row r="910">
      <c r="C910" s="34"/>
    </row>
    <row r="911">
      <c r="C911" s="34"/>
    </row>
    <row r="912">
      <c r="C912" s="34"/>
    </row>
    <row r="913">
      <c r="C913" s="34"/>
    </row>
    <row r="914">
      <c r="C914" s="34"/>
    </row>
    <row r="915">
      <c r="C915" s="34"/>
    </row>
    <row r="916">
      <c r="C916" s="34"/>
    </row>
    <row r="917">
      <c r="C917" s="34"/>
    </row>
    <row r="918">
      <c r="C918" s="34"/>
    </row>
    <row r="919">
      <c r="C919" s="34"/>
    </row>
    <row r="920">
      <c r="C920" s="34"/>
    </row>
    <row r="921">
      <c r="C921" s="34"/>
    </row>
    <row r="922">
      <c r="C922" s="34"/>
    </row>
    <row r="923">
      <c r="C923" s="34"/>
    </row>
    <row r="924">
      <c r="C924" s="34"/>
    </row>
    <row r="925">
      <c r="C925" s="34"/>
    </row>
    <row r="926">
      <c r="C926" s="34"/>
    </row>
    <row r="927">
      <c r="C927" s="34"/>
    </row>
    <row r="928">
      <c r="C928" s="34"/>
    </row>
    <row r="929">
      <c r="C929" s="34"/>
    </row>
    <row r="930">
      <c r="C930" s="34"/>
    </row>
    <row r="931">
      <c r="C931" s="34"/>
    </row>
    <row r="932">
      <c r="C932" s="34"/>
    </row>
    <row r="933">
      <c r="C933" s="34"/>
    </row>
    <row r="934">
      <c r="C934" s="34"/>
    </row>
    <row r="935">
      <c r="C935" s="34"/>
    </row>
    <row r="936">
      <c r="C936" s="34"/>
    </row>
    <row r="937">
      <c r="C937" s="34"/>
    </row>
    <row r="938">
      <c r="C938" s="34"/>
    </row>
    <row r="939">
      <c r="C939" s="34"/>
    </row>
    <row r="940">
      <c r="C940" s="34"/>
    </row>
    <row r="941">
      <c r="C941" s="34"/>
    </row>
    <row r="942">
      <c r="C942" s="34"/>
    </row>
    <row r="943">
      <c r="C943" s="34"/>
    </row>
    <row r="944">
      <c r="C944" s="34"/>
    </row>
    <row r="945">
      <c r="C945" s="34"/>
    </row>
    <row r="946">
      <c r="C946" s="34"/>
    </row>
    <row r="947">
      <c r="C947" s="34"/>
    </row>
    <row r="948">
      <c r="C948" s="34"/>
    </row>
    <row r="949">
      <c r="C949" s="34"/>
    </row>
    <row r="950">
      <c r="C950" s="34"/>
    </row>
    <row r="951">
      <c r="C951" s="34"/>
    </row>
    <row r="952">
      <c r="C952" s="34"/>
    </row>
    <row r="953">
      <c r="C953" s="34"/>
    </row>
    <row r="954">
      <c r="C954" s="34"/>
    </row>
    <row r="955">
      <c r="C955" s="34"/>
    </row>
    <row r="956">
      <c r="C956" s="34"/>
    </row>
    <row r="957">
      <c r="C957" s="34"/>
    </row>
    <row r="958">
      <c r="C958" s="34"/>
    </row>
    <row r="959">
      <c r="C959" s="34"/>
    </row>
    <row r="960">
      <c r="C960" s="34"/>
    </row>
    <row r="961">
      <c r="C961" s="34"/>
    </row>
    <row r="962">
      <c r="C962" s="34"/>
    </row>
    <row r="963">
      <c r="C963" s="34"/>
    </row>
    <row r="964">
      <c r="C964" s="34"/>
    </row>
    <row r="965">
      <c r="C965" s="34"/>
    </row>
    <row r="966">
      <c r="C966" s="34"/>
    </row>
  </sheetData>
  <mergeCells count="36">
    <mergeCell ref="I13:O13"/>
    <mergeCell ref="P13:W13"/>
    <mergeCell ref="T20:AK20"/>
    <mergeCell ref="AL20:AN20"/>
    <mergeCell ref="B1:H1"/>
    <mergeCell ref="I1:O1"/>
    <mergeCell ref="P1:W1"/>
    <mergeCell ref="B7:H7"/>
    <mergeCell ref="I7:O7"/>
    <mergeCell ref="P7:W7"/>
    <mergeCell ref="B13:H13"/>
    <mergeCell ref="AP29:AS29"/>
    <mergeCell ref="AT29:AW29"/>
    <mergeCell ref="AX29:BA29"/>
    <mergeCell ref="BE29:BG29"/>
    <mergeCell ref="BH29:BJ29"/>
    <mergeCell ref="BK29:BM29"/>
    <mergeCell ref="B20:S20"/>
    <mergeCell ref="B28:K28"/>
    <mergeCell ref="L28:U28"/>
    <mergeCell ref="V28:X28"/>
    <mergeCell ref="D29:K29"/>
    <mergeCell ref="N29:U29"/>
    <mergeCell ref="V29:X29"/>
    <mergeCell ref="AV74:AY74"/>
    <mergeCell ref="AZ74:BC74"/>
    <mergeCell ref="BG74:BI74"/>
    <mergeCell ref="BJ74:BL74"/>
    <mergeCell ref="BM74:BO74"/>
    <mergeCell ref="B73:L73"/>
    <mergeCell ref="M73:W73"/>
    <mergeCell ref="X73:Z73"/>
    <mergeCell ref="D74:L74"/>
    <mergeCell ref="O74:W74"/>
    <mergeCell ref="X74:Z74"/>
    <mergeCell ref="AR74:AU7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4" max="4" width="17.88"/>
  </cols>
  <sheetData>
    <row r="1">
      <c r="A1" s="39" t="s">
        <v>263</v>
      </c>
      <c r="B1" s="40"/>
      <c r="C1" s="40"/>
      <c r="D1" s="40"/>
      <c r="E1" s="40"/>
      <c r="F1" s="40" t="s">
        <v>65</v>
      </c>
      <c r="I1" s="40" t="s">
        <v>264</v>
      </c>
      <c r="L1" s="6" t="s">
        <v>265</v>
      </c>
      <c r="O1" s="6" t="s">
        <v>266</v>
      </c>
      <c r="R1" s="6" t="s">
        <v>84</v>
      </c>
      <c r="U1" s="6" t="s">
        <v>179</v>
      </c>
    </row>
    <row r="2">
      <c r="A2" s="16" t="s">
        <v>267</v>
      </c>
      <c r="B2" s="16" t="s">
        <v>268</v>
      </c>
      <c r="C2" s="16" t="s">
        <v>269</v>
      </c>
      <c r="D2" s="16" t="s">
        <v>270</v>
      </c>
      <c r="E2" s="16" t="s">
        <v>271</v>
      </c>
      <c r="F2" s="16" t="s">
        <v>42</v>
      </c>
      <c r="G2" s="16" t="s">
        <v>45</v>
      </c>
      <c r="H2" s="16" t="s">
        <v>272</v>
      </c>
      <c r="I2" s="16" t="s">
        <v>42</v>
      </c>
      <c r="J2" s="16" t="s">
        <v>45</v>
      </c>
      <c r="K2" s="16" t="s">
        <v>272</v>
      </c>
      <c r="L2" s="16" t="s">
        <v>42</v>
      </c>
      <c r="M2" s="16" t="s">
        <v>45</v>
      </c>
      <c r="N2" s="16" t="s">
        <v>272</v>
      </c>
      <c r="O2" s="16" t="s">
        <v>42</v>
      </c>
      <c r="P2" s="16" t="s">
        <v>45</v>
      </c>
      <c r="Q2" s="16" t="s">
        <v>272</v>
      </c>
      <c r="R2" s="16" t="s">
        <v>42</v>
      </c>
      <c r="S2" s="16" t="s">
        <v>45</v>
      </c>
      <c r="T2" s="16" t="s">
        <v>272</v>
      </c>
      <c r="U2" s="16" t="s">
        <v>42</v>
      </c>
      <c r="V2" s="16" t="s">
        <v>45</v>
      </c>
      <c r="W2" s="16" t="s">
        <v>272</v>
      </c>
    </row>
    <row r="3">
      <c r="A3" s="41" t="s">
        <v>273</v>
      </c>
      <c r="B3" s="42"/>
      <c r="C3" s="42"/>
      <c r="D3" s="42"/>
      <c r="E3" s="43" t="s">
        <v>274</v>
      </c>
      <c r="F3" s="43" t="s">
        <v>275</v>
      </c>
      <c r="G3" s="43" t="s">
        <v>276</v>
      </c>
      <c r="H3" s="43" t="s">
        <v>22</v>
      </c>
      <c r="I3" s="42" t="s">
        <v>277</v>
      </c>
      <c r="J3" s="42" t="s">
        <v>278</v>
      </c>
      <c r="K3" s="41" t="s">
        <v>22</v>
      </c>
      <c r="L3" s="44" t="s">
        <v>279</v>
      </c>
      <c r="M3" s="44" t="s">
        <v>280</v>
      </c>
      <c r="N3" s="44"/>
      <c r="O3" s="43" t="s">
        <v>281</v>
      </c>
      <c r="P3" s="43" t="s">
        <v>282</v>
      </c>
      <c r="Q3" s="41" t="s">
        <v>22</v>
      </c>
      <c r="R3" s="43" t="s">
        <v>22</v>
      </c>
      <c r="S3" s="43" t="s">
        <v>22</v>
      </c>
      <c r="T3" s="43" t="s">
        <v>22</v>
      </c>
      <c r="U3" s="43" t="s">
        <v>22</v>
      </c>
      <c r="V3" s="43" t="s">
        <v>22</v>
      </c>
      <c r="W3" s="43" t="s">
        <v>22</v>
      </c>
    </row>
    <row r="4">
      <c r="A4" s="45" t="str">
        <f>IFERROR(__xludf.DUMMYFUNCTION("FILTER(Data!A:A, Data!H:H=A1)"),"01_BD")</f>
        <v>01_BD</v>
      </c>
      <c r="B4" s="46"/>
      <c r="C4" s="31" t="str">
        <f t="array" ref="C4">IFERROR(
  LET(
    startTxt, XLOOKUP(A4, Data!A:A, Data!E:E, ""),
    endTxt, XLOOKUP(A4, Data!A:A, Data!F:F, ""),
    startDate, DATE(VALUE(RIGHT(startTxt,4)),VALUE(MID(startTxt,4,2)),VALUE(LEFT(startTxt,2))),
    endDate, DATE(VALUE(RIGHT(endTxt,4)),VALUE(MID(endTxt,4,2)),VALUE(LEFT(endTxt,2))),
    YEARFRAC(startDate, endDate)
  ),
  ""
)</f>
        <v/>
      </c>
      <c r="D4" s="39" t="s">
        <v>283</v>
      </c>
      <c r="E4" s="46" t="str">
        <f>IFERROR(__xludf.DUMMYFUNCTION("LET(
  raw, INDEX(Data!$B$3:$CN$100, MATCH($A4, Data!$A$3:$A$100, 0), MATCH(E$3, Data!$B$1:$CN$1, 0)),
  txt, TO_TEXT(raw),
  val, IF(
    REGEXMATCH(txt, ""^\s*-?\d+(\.\d+)?\s*$""),
    VALUE(txt),
    """"
  ),
  IF(
    val=0,
    ""Gauche"",
    IF(
 "&amp;"     val=1,
      ""Droit"",
      ""-""
    )
  )
)"),"-")</f>
        <v>-</v>
      </c>
      <c r="F4" s="46">
        <f>IFERROR(__xludf.DUMMYFUNCTION("LET(
  raw, INDEX(Data!$B$3:$CN$100, MATCH($A4, Data!$A$3:$A$100, 0), MATCH(F$3, Data!$B$1:$CN$1, 0)),
  txt, TO_TEXT(raw),
  IF(
    REGEXMATCH(txt, ""^\s*-?\d+(\.\d+)?\s*$""),
    VALUE(txt),
    ""-""
  )
)"),4.0)</f>
        <v>4</v>
      </c>
      <c r="G4" s="46">
        <f>IFERROR(__xludf.DUMMYFUNCTION("LET(
  raw, INDEX(Data!$B$3:$CN$100, MATCH($A4, Data!$A$3:$A$100, 0), MATCH(G$3, Data!$B$1:$CN$1, 0)),
  txt, TO_TEXT(raw),
  IF(
    REGEXMATCH(txt, ""^\s*-?\d+(\.\d+)?\s*$""),
    VALUE(txt),
    ""-""
  )
)"),6.0)</f>
        <v>6</v>
      </c>
      <c r="H4" s="46">
        <f t="shared" ref="H4:H10" si="1">IF(AND(ISNUMBER(G4), ISNUMBER($F4)), G4-$F4, "-")</f>
        <v>2</v>
      </c>
      <c r="I4" s="46">
        <f>IFERROR(__xludf.DUMMYFUNCTION("LET(
  raw, INDEX(Data!$B$3:$CN$100, MATCH($A4, Data!$A$3:$A$100, 0), MATCH(I$3, Data!$B$1:$CN$1, 0)),
  txt, TO_TEXT(raw),
  IF(
    REGEXMATCH(txt, ""^\s*-?\d+(\.\d+)?\s*$""),
    VALUE(txt),
    ""-""
  )
)"),0.3846153846)</f>
        <v>0.3846153846</v>
      </c>
      <c r="J4" s="46">
        <f>IFERROR(__xludf.DUMMYFUNCTION("LET(
  raw, INDEX(Data!$B$3:$CN$100, MATCH($A4, Data!$A$3:$A$100, 0), MATCH(J$3, Data!$B$1:$CN$1, 0)),
  txt, TO_TEXT(raw),
  IF(
    REGEXMATCH(txt, ""^\s*-?\d+(\.\d+)?\s*$""),
    VALUE(txt),
    ""-""
  )
)"),0.8333333333)</f>
        <v>0.8333333333</v>
      </c>
      <c r="K4" s="46">
        <f t="shared" ref="K4:K10" si="2">IF(AND(ISNUMBER(J4), ISNUMBER($I4)), J4-$I4, "-")</f>
        <v>0.4487179487</v>
      </c>
      <c r="L4" s="46">
        <f>IFERROR(__xludf.DUMMYFUNCTION("LET(
  raw, INDEX(Data!$B$3:$CN$100, MATCH($A4, Data!$A$3:$A$100, 0), MATCH(L$3, Data!$B$1:$CN$1, 0)),
  txt, TO_TEXT(raw),
  IF(
    REGEXMATCH(txt, ""^\s*-?\d+(\.\d+)?\s*$""),
    VALUE(txt),
    ""-""
  )
)"),98.0)</f>
        <v>98</v>
      </c>
      <c r="M4" s="46">
        <f>IFERROR(__xludf.DUMMYFUNCTION("LET(
  raw, INDEX(Data!$B$3:$CN$100, MATCH($A4, Data!$A$3:$A$100, 0), MATCH(M$3, Data!$B$1:$CN$1, 0)),
  txt, TO_TEXT(raw),
  IF(
    REGEXMATCH(txt, ""^\s*-?\d+(\.\d+)?\s*$""),
    VALUE(txt),
    ""-""
  )
)"),136.0)</f>
        <v>136</v>
      </c>
      <c r="N4" s="46">
        <f t="shared" ref="N4:N10" si="3">IF(AND(ISNUMBER(M4), ISNUMBER($L4)), M4-$L4, "-")</f>
        <v>38</v>
      </c>
      <c r="O4" s="46">
        <f>IFERROR(__xludf.DUMMYFUNCTION("LET(
  raw, INDEX(Data!$B$3:$CN$100, MATCH($A4, Data!$A$3:$A$100, 0), MATCH(O$3, Data!$B$1:$CN$1, 0)),
  txt, TO_TEXT(raw),
  IF(
    REGEXMATCH(txt, ""^\s*-?\d+(\.\d+)?\s*$""),
    VALUE(txt),
    ""-""
  )
)"),19.0)</f>
        <v>19</v>
      </c>
      <c r="P4" s="46">
        <f>IFERROR(__xludf.DUMMYFUNCTION("LET(
  raw, INDEX(Data!$B$3:$CN$100, MATCH($A4, Data!$A$3:$A$100, 0), MATCH(P$3, Data!$B$1:$CN$1, 0)),
  txt, TO_TEXT(raw),
  IF(
    REGEXMATCH(txt, ""^\s*-?\d+(\.\d+)?\s*$""),
    VALUE(txt),
    ""-""
  )
)"),9.0)</f>
        <v>9</v>
      </c>
      <c r="Q4" s="46">
        <f t="shared" ref="Q4:Q10" si="4">IF(AND(ISNUMBER(P4), ISNUMBER($O4)), P4-$O4, "-")</f>
        <v>-10</v>
      </c>
      <c r="R4" s="47">
        <v>5.0</v>
      </c>
      <c r="S4" s="47">
        <v>3.0</v>
      </c>
      <c r="T4" s="46">
        <f t="shared" ref="T4:T10" si="5">S4-R4</f>
        <v>-2</v>
      </c>
      <c r="U4" s="47">
        <v>26.0</v>
      </c>
      <c r="V4" s="47">
        <v>33.0</v>
      </c>
      <c r="W4" s="48">
        <f t="shared" ref="W4:W10" si="6">V4-U4</f>
        <v>7</v>
      </c>
    </row>
    <row r="5">
      <c r="A5" s="45" t="str">
        <f>IFERROR(__xludf.DUMMYFUNCTION("""COMPUTED_VALUE"""),"02_KS")</f>
        <v>02_KS</v>
      </c>
      <c r="B5" s="46"/>
      <c r="C5" s="31" t="str">
        <f t="array" ref="C5">IFERROR(
  LET(
    startTxt, XLOOKUP(A5, Data!A:A, Data!E:E, ""),
    endTxt, XLOOKUP(A5, Data!A:A, Data!F:F, ""),
    startDate, DATE(VALUE(RIGHT(startTxt,4)),VALUE(MID(startTxt,4,2)),VALUE(LEFT(startTxt,2))),
    endDate, DATE(VALUE(RIGHT(endTxt,4)),VALUE(MID(endTxt,4,2)),VALUE(LEFT(endTxt,2))),
    YEARFRAC(startDate, endDate)
  ),
  ""
)</f>
        <v/>
      </c>
      <c r="D5" s="39" t="s">
        <v>284</v>
      </c>
      <c r="E5" s="46" t="str">
        <f>IFERROR(__xludf.DUMMYFUNCTION("LET(
  raw, INDEX(Data!$B$3:$CN$100, MATCH($A5, Data!$A$3:$A$100, 0), MATCH(E$3, Data!$B$1:$CN$1, 0)),
  txt, TO_TEXT(raw),
  val, IF(
    REGEXMATCH(txt, ""^\s*-?\d+(\.\d+)?\s*$""),
    VALUE(txt),
    """"
  ),
  IF(
    val=0,
    ""Gauche"",
    IF(
 "&amp;"     val=1,
      ""Droit"",
      ""-""
    )
  )
)"),"-")</f>
        <v>-</v>
      </c>
      <c r="F5" s="46">
        <f>IFERROR(__xludf.DUMMYFUNCTION("LET(
  raw, INDEX(Data!$B$3:$CN$100, MATCH($A5, Data!$A$3:$A$100, 0), MATCH(F$3, Data!$B$1:$CN$1, 0)),
  txt, TO_TEXT(raw),
  IF(
    REGEXMATCH(txt, ""^\s*-?\d+(\.\d+)?\s*$""),
    VALUE(txt),
    ""-""
  )
)"),5.0)</f>
        <v>5</v>
      </c>
      <c r="G5" s="46">
        <f>IFERROR(__xludf.DUMMYFUNCTION("LET(
  raw, INDEX(Data!$B$3:$CN$100, MATCH($A5, Data!$A$3:$A$100, 0), MATCH(G$3, Data!$B$1:$CN$1, 0)),
  txt, TO_TEXT(raw),
  IF(
    REGEXMATCH(txt, ""^\s*-?\d+(\.\d+)?\s*$""),
    VALUE(txt),
    ""-""
  )
)"),8.0)</f>
        <v>8</v>
      </c>
      <c r="H5" s="46">
        <f t="shared" si="1"/>
        <v>3</v>
      </c>
      <c r="I5" s="46">
        <f>IFERROR(__xludf.DUMMYFUNCTION("LET(
  raw, INDEX(Data!$B$3:$CN$100, MATCH($A5, Data!$A$3:$A$100, 0), MATCH(I$3, Data!$B$1:$CN$1, 0)),
  txt, TO_TEXT(raw),
  IF(
    REGEXMATCH(txt, ""^\s*-?\d+(\.\d+)?\s*$""),
    VALUE(txt),
    ""-""
  )
)"),0.7633587786)</f>
        <v>0.7633587786</v>
      </c>
      <c r="J5" s="46">
        <f>IFERROR(__xludf.DUMMYFUNCTION("LET(
  raw, INDEX(Data!$B$3:$CN$100, MATCH($A5, Data!$A$3:$A$100, 0), MATCH(J$3, Data!$B$1:$CN$1, 0)),
  txt, TO_TEXT(raw),
  IF(
    REGEXMATCH(txt, ""^\s*-?\d+(\.\d+)?\s*$""),
    VALUE(txt),
    ""-""
  )
)"),1.428571429)</f>
        <v>1.428571429</v>
      </c>
      <c r="K5" s="46">
        <f t="shared" si="2"/>
        <v>0.6652126504</v>
      </c>
      <c r="L5" s="46">
        <f>IFERROR(__xludf.DUMMYFUNCTION("LET(
  raw, INDEX(Data!$B$3:$CN$100, MATCH($A5, Data!$A$3:$A$100, 0), MATCH(L$3, Data!$B$1:$CN$1, 0)),
  txt, TO_TEXT(raw),
  IF(
    REGEXMATCH(txt, ""^\s*-?\d+(\.\d+)?\s*$""),
    VALUE(txt),
    ""-""
  )
)"),274.0)</f>
        <v>274</v>
      </c>
      <c r="M5" s="46">
        <f>IFERROR(__xludf.DUMMYFUNCTION("LET(
  raw, INDEX(Data!$B$3:$CN$100, MATCH($A5, Data!$A$3:$A$100, 0), MATCH(M$3, Data!$B$1:$CN$1, 0)),
  txt, TO_TEXT(raw),
  IF(
    REGEXMATCH(txt, ""^\s*-?\d+(\.\d+)?\s*$""),
    VALUE(txt),
    ""-""
  )
)"),429.0)</f>
        <v>429</v>
      </c>
      <c r="N5" s="46">
        <f t="shared" si="3"/>
        <v>155</v>
      </c>
      <c r="O5" s="46">
        <f>IFERROR(__xludf.DUMMYFUNCTION("LET(
  raw, INDEX(Data!$B$3:$CN$100, MATCH($A5, Data!$A$3:$A$100, 0), MATCH(O$3, Data!$B$1:$CN$1, 0)),
  txt, TO_TEXT(raw),
  IF(
    REGEXMATCH(txt, ""^\s*-?\d+(\.\d+)?\s*$""),
    VALUE(txt),
    ""-""
  )
)"),13.7)</f>
        <v>13.7</v>
      </c>
      <c r="P5" s="46">
        <f>IFERROR(__xludf.DUMMYFUNCTION("LET(
  raw, INDEX(Data!$B$3:$CN$100, MATCH($A5, Data!$A$3:$A$100, 0), MATCH(P$3, Data!$B$1:$CN$1, 0)),
  txt, TO_TEXT(raw),
  IF(
    REGEXMATCH(txt, ""^\s*-?\d+(\.\d+)?\s*$""),
    VALUE(txt),
    ""-""
  )
)"),5.8)</f>
        <v>5.8</v>
      </c>
      <c r="Q5" s="46">
        <f t="shared" si="4"/>
        <v>-7.9</v>
      </c>
      <c r="R5" s="47">
        <v>3.0</v>
      </c>
      <c r="S5" s="47">
        <v>0.0</v>
      </c>
      <c r="T5" s="46">
        <f t="shared" si="5"/>
        <v>-3</v>
      </c>
      <c r="U5" s="47">
        <v>31.0</v>
      </c>
      <c r="V5" s="47">
        <v>43.0</v>
      </c>
      <c r="W5" s="48">
        <f t="shared" si="6"/>
        <v>12</v>
      </c>
    </row>
    <row r="6">
      <c r="A6" s="45" t="str">
        <f>IFERROR(__xludf.DUMMYFUNCTION("""COMPUTED_VALUE"""),"03_BZ")</f>
        <v>03_BZ</v>
      </c>
      <c r="B6" s="46"/>
      <c r="C6" s="31" t="str">
        <f t="array" ref="C6">IFERROR(
  LET(
    startTxt, XLOOKUP(A6, Data!A:A, Data!E:E, ""),
    endTxt, XLOOKUP(A6, Data!A:A, Data!F:F, ""),
    startDate, DATE(VALUE(RIGHT(startTxt,4)),VALUE(MID(startTxt,4,2)),VALUE(LEFT(startTxt,2))),
    endDate, DATE(VALUE(RIGHT(endTxt,4)),VALUE(MID(endTxt,4,2)),VALUE(LEFT(endTxt,2))),
    YEARFRAC(startDate, endDate)
  ),
  ""
)</f>
        <v/>
      </c>
      <c r="D6" s="39" t="s">
        <v>285</v>
      </c>
      <c r="E6" s="46" t="str">
        <f>IFERROR(__xludf.DUMMYFUNCTION("LET(
  raw, INDEX(Data!$B$3:$CN$100, MATCH($A6, Data!$A$3:$A$100, 0), MATCH(E$3, Data!$B$1:$CN$1, 0)),
  txt, TO_TEXT(raw),
  val, IF(
    REGEXMATCH(txt, ""^\s*-?\d+(\.\d+)?\s*$""),
    VALUE(txt),
    """"
  ),
  IF(
    val=0,
    ""Gauche"",
    IF(
 "&amp;"     val=1,
      ""Droit"",
      ""-""
    )
  )
)"),"-")</f>
        <v>-</v>
      </c>
      <c r="F6" s="46">
        <f>IFERROR(__xludf.DUMMYFUNCTION("LET(
  raw, INDEX(Data!$B$3:$CN$100, MATCH($A6, Data!$A$3:$A$100, 0), MATCH(F$3, Data!$B$1:$CN$1, 0)),
  txt, TO_TEXT(raw),
  IF(
    REGEXMATCH(txt, ""^\s*-?\d+(\.\d+)?\s*$""),
    VALUE(txt),
    ""-""
  )
)"),5.0)</f>
        <v>5</v>
      </c>
      <c r="G6" s="46">
        <f>IFERROR(__xludf.DUMMYFUNCTION("LET(
  raw, INDEX(Data!$B$3:$CN$100, MATCH($A6, Data!$A$3:$A$100, 0), MATCH(G$3, Data!$B$1:$CN$1, 0)),
  txt, TO_TEXT(raw),
  IF(
    REGEXMATCH(txt, ""^\s*-?\d+(\.\d+)?\s*$""),
    VALUE(txt),
    ""-""
  )
)"),8.0)</f>
        <v>8</v>
      </c>
      <c r="H6" s="46">
        <f t="shared" si="1"/>
        <v>3</v>
      </c>
      <c r="I6" s="46">
        <f>IFERROR(__xludf.DUMMYFUNCTION("LET(
  raw, INDEX(Data!$B$3:$CN$100, MATCH($A6, Data!$A$3:$A$100, 0), MATCH(I$3, Data!$B$1:$CN$1, 0)),
  txt, TO_TEXT(raw),
  IF(
    REGEXMATCH(txt, ""^\s*-?\d+(\.\d+)?\s*$""),
    VALUE(txt),
    ""-""
  )
)"),0.4166666667)</f>
        <v>0.4166666667</v>
      </c>
      <c r="J6" s="46">
        <f>IFERROR(__xludf.DUMMYFUNCTION("LET(
  raw, INDEX(Data!$B$3:$CN$100, MATCH($A6, Data!$A$3:$A$100, 0), MATCH(J$3, Data!$B$1:$CN$1, 0)),
  txt, TO_TEXT(raw),
  IF(
    REGEXMATCH(txt, ""^\s*-?\d+(\.\d+)?\s*$""),
    VALUE(txt),
    ""-""
  )
)"),0.5555555556)</f>
        <v>0.5555555556</v>
      </c>
      <c r="K6" s="46">
        <f t="shared" si="2"/>
        <v>0.1388888889</v>
      </c>
      <c r="L6" s="46">
        <f>IFERROR(__xludf.DUMMYFUNCTION("LET(
  raw, INDEX(Data!$B$3:$CN$100, MATCH($A6, Data!$A$3:$A$100, 0), MATCH(L$3, Data!$B$1:$CN$1, 0)),
  txt, TO_TEXT(raw),
  IF(
    REGEXMATCH(txt, ""^\s*-?\d+(\.\d+)?\s*$""),
    VALUE(txt),
    ""-""
  )
)"),172.0)</f>
        <v>172</v>
      </c>
      <c r="M6" s="46">
        <f>IFERROR(__xludf.DUMMYFUNCTION("LET(
  raw, INDEX(Data!$B$3:$CN$100, MATCH($A6, Data!$A$3:$A$100, 0), MATCH(M$3, Data!$B$1:$CN$1, 0)),
  txt, TO_TEXT(raw),
  IF(
    REGEXMATCH(txt, ""^\s*-?\d+(\.\d+)?\s*$""),
    VALUE(txt),
    ""-""
  )
)"),355.0)</f>
        <v>355</v>
      </c>
      <c r="N6" s="46">
        <f t="shared" si="3"/>
        <v>183</v>
      </c>
      <c r="O6" s="46">
        <f>IFERROR(__xludf.DUMMYFUNCTION("LET(
  raw, INDEX(Data!$B$3:$CN$100, MATCH($A6, Data!$A$3:$A$100, 0), MATCH(O$3, Data!$B$1:$CN$1, 0)),
  txt, TO_TEXT(raw),
  IF(
    REGEXMATCH(txt, ""^\s*-?\d+(\.\d+)?\s*$""),
    VALUE(txt),
    ""-""
  )
)"),16.0)</f>
        <v>16</v>
      </c>
      <c r="P6" s="46">
        <f>IFERROR(__xludf.DUMMYFUNCTION("LET(
  raw, INDEX(Data!$B$3:$CN$100, MATCH($A6, Data!$A$3:$A$100, 0), MATCH(P$3, Data!$B$1:$CN$1, 0)),
  txt, TO_TEXT(raw),
  IF(
    REGEXMATCH(txt, ""^\s*-?\d+(\.\d+)?\s*$""),
    VALUE(txt),
    ""-""
  )
)"),6.7)</f>
        <v>6.7</v>
      </c>
      <c r="Q6" s="46">
        <f t="shared" si="4"/>
        <v>-9.3</v>
      </c>
      <c r="R6" s="47">
        <v>3.0</v>
      </c>
      <c r="S6" s="47">
        <v>0.0</v>
      </c>
      <c r="T6" s="46">
        <f t="shared" si="5"/>
        <v>-3</v>
      </c>
      <c r="U6" s="47">
        <v>34.0</v>
      </c>
      <c r="V6" s="47">
        <v>42.0</v>
      </c>
      <c r="W6" s="48">
        <f t="shared" si="6"/>
        <v>8</v>
      </c>
    </row>
    <row r="7">
      <c r="A7" s="45" t="str">
        <f>IFERROR(__xludf.DUMMYFUNCTION("""COMPUTED_VALUE"""),"05_MT")</f>
        <v>05_MT</v>
      </c>
      <c r="B7" s="46"/>
      <c r="C7" s="31" t="str">
        <f t="array" ref="C7">IFERROR(
  LET(
    startTxt, XLOOKUP(A7, Data!A:A, Data!E:E, ""),
    endTxt, XLOOKUP(A7, Data!A:A, Data!F:F, ""),
    startDate, DATE(VALUE(RIGHT(startTxt,4)),VALUE(MID(startTxt,4,2)),VALUE(LEFT(startTxt,2))),
    endDate, DATE(VALUE(RIGHT(endTxt,4)),VALUE(MID(endTxt,4,2)),VALUE(LEFT(endTxt,2))),
    YEARFRAC(startDate, endDate)
  ),
  ""
)</f>
        <v/>
      </c>
      <c r="D7" s="39" t="s">
        <v>286</v>
      </c>
      <c r="E7" s="46" t="str">
        <f>IFERROR(__xludf.DUMMYFUNCTION("LET(
  raw, INDEX(Data!$B$3:$CN$100, MATCH($A7, Data!$A$3:$A$100, 0), MATCH(E$3, Data!$B$1:$CN$1, 0)),
  txt, TO_TEXT(raw),
  val, IF(
    REGEXMATCH(txt, ""^\s*-?\d+(\.\d+)?\s*$""),
    VALUE(txt),
    """"
  ),
  IF(
    val=0,
    ""Gauche"",
    IF(
 "&amp;"     val=1,
      ""Droit"",
      ""-""
    )
  )
)"),"-")</f>
        <v>-</v>
      </c>
      <c r="F7" s="46">
        <f>IFERROR(__xludf.DUMMYFUNCTION("LET(
  raw, INDEX(Data!$B$3:$CN$100, MATCH($A7, Data!$A$3:$A$100, 0), MATCH(F$3, Data!$B$1:$CN$1, 0)),
  txt, TO_TEXT(raw),
  IF(
    REGEXMATCH(txt, ""^\s*-?\d+(\.\d+)?\s*$""),
    VALUE(txt),
    ""-""
  )
)"),3.0)</f>
        <v>3</v>
      </c>
      <c r="G7" s="46">
        <f>IFERROR(__xludf.DUMMYFUNCTION("LET(
  raw, INDEX(Data!$B$3:$CN$100, MATCH($A7, Data!$A$3:$A$100, 0), MATCH(G$3, Data!$B$1:$CN$1, 0)),
  txt, TO_TEXT(raw),
  IF(
    REGEXMATCH(txt, ""^\s*-?\d+(\.\d+)?\s*$""),
    VALUE(txt),
    ""-""
  )
)"),4.0)</f>
        <v>4</v>
      </c>
      <c r="H7" s="46">
        <f t="shared" si="1"/>
        <v>1</v>
      </c>
      <c r="I7" s="46">
        <f>IFERROR(__xludf.DUMMYFUNCTION("LET(
  raw, INDEX(Data!$B$3:$CN$100, MATCH($A7, Data!$A$3:$A$100, 0), MATCH(I$3, Data!$B$1:$CN$1, 0)),
  txt, TO_TEXT(raw),
  IF(
    REGEXMATCH(txt, ""^\s*-?\d+(\.\d+)?\s*$""),
    VALUE(txt),
    ""-""
  )
)"),0.3125)</f>
        <v>0.3125</v>
      </c>
      <c r="J7" s="46">
        <f>IFERROR(__xludf.DUMMYFUNCTION("LET(
  raw, INDEX(Data!$B$3:$CN$100, MATCH($A7, Data!$A$3:$A$100, 0), MATCH(J$3, Data!$B$1:$CN$1, 0)),
  txt, TO_TEXT(raw),
  IF(
    REGEXMATCH(txt, ""^\s*-?\d+(\.\d+)?\s*$""),
    VALUE(txt),
    ""-""
  )
)"),0.4807692308)</f>
        <v>0.4807692308</v>
      </c>
      <c r="K7" s="46">
        <f t="shared" si="2"/>
        <v>0.1682692308</v>
      </c>
      <c r="L7" s="46">
        <f>IFERROR(__xludf.DUMMYFUNCTION("LET(
  raw, INDEX(Data!$B$3:$CN$100, MATCH($A7, Data!$A$3:$A$100, 0), MATCH(L$3, Data!$B$1:$CN$1, 0)),
  txt, TO_TEXT(raw),
  IF(
    REGEXMATCH(txt, ""^\s*-?\d+(\.\d+)?\s*$""),
    VALUE(txt),
    ""-""
  )
)"),36.0)</f>
        <v>36</v>
      </c>
      <c r="M7" s="46">
        <f>IFERROR(__xludf.DUMMYFUNCTION("LET(
  raw, INDEX(Data!$B$3:$CN$100, MATCH($A7, Data!$A$3:$A$100, 0), MATCH(M$3, Data!$B$1:$CN$1, 0)),
  txt, TO_TEXT(raw),
  IF(
    REGEXMATCH(txt, ""^\s*-?\d+(\.\d+)?\s*$""),
    VALUE(txt),
    ""-""
  )
)"),128.0)</f>
        <v>128</v>
      </c>
      <c r="N7" s="46">
        <f t="shared" si="3"/>
        <v>92</v>
      </c>
      <c r="O7" s="46">
        <f>IFERROR(__xludf.DUMMYFUNCTION("LET(
  raw, INDEX(Data!$B$3:$CN$100, MATCH($A7, Data!$A$3:$A$100, 0), MATCH(O$3, Data!$B$1:$CN$1, 0)),
  txt, TO_TEXT(raw),
  IF(
    REGEXMATCH(txt, ""^\s*-?\d+(\.\d+)?\s*$""),
    VALUE(txt),
    ""-""
  )
)"),95.0)</f>
        <v>95</v>
      </c>
      <c r="P7" s="46">
        <f>IFERROR(__xludf.DUMMYFUNCTION("LET(
  raw, INDEX(Data!$B$3:$CN$100, MATCH($A7, Data!$A$3:$A$100, 0), MATCH(P$3, Data!$B$1:$CN$1, 0)),
  txt, TO_TEXT(raw),
  IF(
    REGEXMATCH(txt, ""^\s*-?\d+(\.\d+)?\s*$""),
    VALUE(txt),
    ""-""
  )
)"),30.1)</f>
        <v>30.1</v>
      </c>
      <c r="Q7" s="46">
        <f t="shared" si="4"/>
        <v>-64.9</v>
      </c>
      <c r="R7" s="47">
        <v>4.0</v>
      </c>
      <c r="S7" s="47">
        <v>0.0</v>
      </c>
      <c r="T7" s="46">
        <f t="shared" si="5"/>
        <v>-4</v>
      </c>
      <c r="U7" s="47">
        <v>16.0</v>
      </c>
      <c r="V7" s="47">
        <v>16.0</v>
      </c>
      <c r="W7" s="48">
        <f t="shared" si="6"/>
        <v>0</v>
      </c>
    </row>
    <row r="8">
      <c r="A8" s="45" t="str">
        <f>IFERROR(__xludf.DUMMYFUNCTION("""COMPUTED_VALUE"""),"06_CV")</f>
        <v>06_CV</v>
      </c>
      <c r="B8" s="46"/>
      <c r="C8" s="31" t="str">
        <f t="array" ref="C8">IFERROR(
  LET(
    startTxt, XLOOKUP(A8, Data!A:A, Data!E:E, ""),
    endTxt, XLOOKUP(A8, Data!A:A, Data!F:F, ""),
    startDate, DATE(VALUE(RIGHT(startTxt,4)),VALUE(MID(startTxt,4,2)),VALUE(LEFT(startTxt,2))),
    endDate, DATE(VALUE(RIGHT(endTxt,4)),VALUE(MID(endTxt,4,2)),VALUE(LEFT(endTxt,2))),
    YEARFRAC(startDate, endDate)
  ),
  ""
)</f>
        <v/>
      </c>
      <c r="D8" s="39" t="s">
        <v>287</v>
      </c>
      <c r="E8" s="46" t="str">
        <f>IFERROR(__xludf.DUMMYFUNCTION("LET(
  raw, INDEX(Data!$B$3:$CN$100, MATCH($A8, Data!$A$3:$A$100, 0), MATCH(E$3, Data!$B$1:$CN$1, 0)),
  txt, TO_TEXT(raw),
  val, IF(
    REGEXMATCH(txt, ""^\s*-?\d+(\.\d+)?\s*$""),
    VALUE(txt),
    """"
  ),
  IF(
    val=0,
    ""Gauche"",
    IF(
 "&amp;"     val=1,
      ""Droit"",
      ""-""
    )
  )
)"),"-")</f>
        <v>-</v>
      </c>
      <c r="F8" s="46">
        <f>IFERROR(__xludf.DUMMYFUNCTION("LET(
  raw, INDEX(Data!$B$3:$CN$100, MATCH($A8, Data!$A$3:$A$100, 0), MATCH(F$3, Data!$B$1:$CN$1, 0)),
  txt, TO_TEXT(raw),
  IF(
    REGEXMATCH(txt, ""^\s*-?\d+(\.\d+)?\s*$""),
    VALUE(txt),
    ""-""
  )
)"),3.0)</f>
        <v>3</v>
      </c>
      <c r="G8" s="46">
        <f>IFERROR(__xludf.DUMMYFUNCTION("LET(
  raw, INDEX(Data!$B$3:$CN$100, MATCH($A8, Data!$A$3:$A$100, 0), MATCH(G$3, Data!$B$1:$CN$1, 0)),
  txt, TO_TEXT(raw),
  IF(
    REGEXMATCH(txt, ""^\s*-?\d+(\.\d+)?\s*$""),
    VALUE(txt),
    ""-""
  )
)"),7.0)</f>
        <v>7</v>
      </c>
      <c r="H8" s="46">
        <f t="shared" si="1"/>
        <v>4</v>
      </c>
      <c r="I8" s="46">
        <f>IFERROR(__xludf.DUMMYFUNCTION("LET(
  raw, INDEX(Data!$B$3:$CN$100, MATCH($A8, Data!$A$3:$A$100, 0), MATCH(I$3, Data!$B$1:$CN$1, 0)),
  txt, TO_TEXT(raw),
  IF(
    REGEXMATCH(txt, ""^\s*-?\d+(\.\d+)?\s*$""),
    VALUE(txt),
    ""-""
  )
)"),0.5555555556)</f>
        <v>0.5555555556</v>
      </c>
      <c r="J8" s="46">
        <f>IFERROR(__xludf.DUMMYFUNCTION("LET(
  raw, INDEX(Data!$B$3:$CN$100, MATCH($A8, Data!$A$3:$A$100, 0), MATCH(J$3, Data!$B$1:$CN$1, 0)),
  txt, TO_TEXT(raw),
  IF(
    REGEXMATCH(txt, ""^\s*-?\d+(\.\d+)?\s*$""),
    VALUE(txt),
    ""-""
  )
)"),1.25)</f>
        <v>1.25</v>
      </c>
      <c r="K8" s="46">
        <f t="shared" si="2"/>
        <v>0.6944444444</v>
      </c>
      <c r="L8" s="46">
        <f>IFERROR(__xludf.DUMMYFUNCTION("LET(
  raw, INDEX(Data!$B$3:$CN$100, MATCH($A8, Data!$A$3:$A$100, 0), MATCH(L$3, Data!$B$1:$CN$1, 0)),
  txt, TO_TEXT(raw),
  IF(
    REGEXMATCH(txt, ""^\s*-?\d+(\.\d+)?\s*$""),
    VALUE(txt),
    ""-""
  )
)"),94.0)</f>
        <v>94</v>
      </c>
      <c r="M8" s="46">
        <f>IFERROR(__xludf.DUMMYFUNCTION("LET(
  raw, INDEX(Data!$B$3:$CN$100, MATCH($A8, Data!$A$3:$A$100, 0), MATCH(M$3, Data!$B$1:$CN$1, 0)),
  txt, TO_TEXT(raw),
  IF(
    REGEXMATCH(txt, ""^\s*-?\d+(\.\d+)?\s*$""),
    VALUE(txt),
    ""-""
  )
)"),411.0)</f>
        <v>411</v>
      </c>
      <c r="N8" s="46">
        <f t="shared" si="3"/>
        <v>317</v>
      </c>
      <c r="O8" s="46">
        <f>IFERROR(__xludf.DUMMYFUNCTION("LET(
  raw, INDEX(Data!$B$3:$CN$100, MATCH($A8, Data!$A$3:$A$100, 0), MATCH(O$3, Data!$B$1:$CN$1, 0)),
  txt, TO_TEXT(raw),
  IF(
    REGEXMATCH(txt, ""^\s*-?\d+(\.\d+)?\s*$""),
    VALUE(txt),
    ""-""
  )
)"),39.0)</f>
        <v>39</v>
      </c>
      <c r="P8" s="46">
        <f>IFERROR(__xludf.DUMMYFUNCTION("LET(
  raw, INDEX(Data!$B$3:$CN$100, MATCH($A8, Data!$A$3:$A$100, 0), MATCH(P$3, Data!$B$1:$CN$1, 0)),
  txt, TO_TEXT(raw),
  IF(
    REGEXMATCH(txt, ""^\s*-?\d+(\.\d+)?\s*$""),
    VALUE(txt),
    ""-""
  )
)"),8.3)</f>
        <v>8.3</v>
      </c>
      <c r="Q8" s="46">
        <f t="shared" si="4"/>
        <v>-30.7</v>
      </c>
      <c r="R8" s="47">
        <v>2.0</v>
      </c>
      <c r="S8" s="47">
        <v>0.0</v>
      </c>
      <c r="T8" s="46">
        <f t="shared" si="5"/>
        <v>-2</v>
      </c>
      <c r="U8" s="47">
        <v>22.0</v>
      </c>
      <c r="V8" s="47">
        <v>34.0</v>
      </c>
      <c r="W8" s="48">
        <f t="shared" si="6"/>
        <v>12</v>
      </c>
    </row>
    <row r="9">
      <c r="A9" s="45" t="str">
        <f>IFERROR(__xludf.DUMMYFUNCTION("""COMPUTED_VALUE"""),"12_DM")</f>
        <v>12_DM</v>
      </c>
      <c r="B9" s="46"/>
      <c r="C9" s="31" t="str">
        <f t="array" ref="C9">IFERROR(
  LET(
    startTxt, XLOOKUP(A9, Data!A:A, Data!E:E, ""),
    endTxt, XLOOKUP(A9, Data!A:A, Data!F:F, ""),
    startDate, DATE(VALUE(RIGHT(startTxt,4)),VALUE(MID(startTxt,4,2)),VALUE(LEFT(startTxt,2))),
    endDate, DATE(VALUE(RIGHT(endTxt,4)),VALUE(MID(endTxt,4,2)),VALUE(LEFT(endTxt,2))),
    YEARFRAC(startDate, endDate)
  ),
  ""
)</f>
        <v/>
      </c>
      <c r="D9" s="39" t="s">
        <v>22</v>
      </c>
      <c r="E9" s="46" t="str">
        <f>IFERROR(__xludf.DUMMYFUNCTION("LET(
  raw, INDEX(Data!$B$3:$CN$100, MATCH($A9, Data!$A$3:$A$100, 0), MATCH(E$3, Data!$B$1:$CN$1, 0)),
  txt, TO_TEXT(raw),
  val, IF(
    REGEXMATCH(txt, ""^\s*-?\d+(\.\d+)?\s*$""),
    VALUE(txt),
    """"
  ),
  IF(
    val=0,
    ""Gauche"",
    IF(
 "&amp;"     val=1,
      ""Droit"",
      ""-""
    )
  )
)"),"-")</f>
        <v>-</v>
      </c>
      <c r="F9" s="46">
        <f>IFERROR(__xludf.DUMMYFUNCTION("LET(
  raw, INDEX(Data!$B$3:$CN$100, MATCH($A9, Data!$A$3:$A$100, 0), MATCH(F$3, Data!$B$1:$CN$1, 0)),
  txt, TO_TEXT(raw),
  IF(
    REGEXMATCH(txt, ""^\s*-?\d+(\.\d+)?\s*$""),
    VALUE(txt),
    ""-""
  )
)"),3.0)</f>
        <v>3</v>
      </c>
      <c r="G9" s="46">
        <f>IFERROR(__xludf.DUMMYFUNCTION("LET(
  raw, INDEX(Data!$B$3:$CN$100, MATCH($A9, Data!$A$3:$A$100, 0), MATCH(G$3, Data!$B$1:$CN$1, 0)),
  txt, TO_TEXT(raw),
  IF(
    REGEXMATCH(txt, ""^\s*-?\d+(\.\d+)?\s*$""),
    VALUE(txt),
    ""-""
  )
)"),6.0)</f>
        <v>6</v>
      </c>
      <c r="H9" s="46">
        <f t="shared" si="1"/>
        <v>3</v>
      </c>
      <c r="I9" s="46">
        <f>IFERROR(__xludf.DUMMYFUNCTION("LET(
  raw, INDEX(Data!$B$3:$CN$100, MATCH($A9, Data!$A$3:$A$100, 0), MATCH(I$3, Data!$B$1:$CN$1, 0)),
  txt, TO_TEXT(raw),
  IF(
    REGEXMATCH(txt, ""^\s*-?\d+(\.\d+)?\s*$""),
    VALUE(txt),
    ""-""
  )
)"),0.3021148036)</f>
        <v>0.3021148036</v>
      </c>
      <c r="J9" s="46">
        <f>IFERROR(__xludf.DUMMYFUNCTION("LET(
  raw, INDEX(Data!$B$3:$CN$100, MATCH($A9, Data!$A$3:$A$100, 0), MATCH(J$3, Data!$B$1:$CN$1, 0)),
  txt, TO_TEXT(raw),
  IF(
    REGEXMATCH(txt, ""^\s*-?\d+(\.\d+)?\s*$""),
    VALUE(txt),
    ""-""
  )
)"),0.5800464037)</f>
        <v>0.5800464037</v>
      </c>
      <c r="K9" s="46">
        <f t="shared" si="2"/>
        <v>0.2779316001</v>
      </c>
      <c r="L9" s="46">
        <f>IFERROR(__xludf.DUMMYFUNCTION("LET(
  raw, INDEX(Data!$B$3:$CN$100, MATCH($A9, Data!$A$3:$A$100, 0), MATCH(L$3, Data!$B$1:$CN$1, 0)),
  txt, TO_TEXT(raw),
  IF(
    REGEXMATCH(txt, ""^\s*-?\d+(\.\d+)?\s*$""),
    VALUE(txt),
    ""-""
  )
)"),147.0)</f>
        <v>147</v>
      </c>
      <c r="M9" s="46">
        <f>IFERROR(__xludf.DUMMYFUNCTION("LET(
  raw, INDEX(Data!$B$3:$CN$100, MATCH($A9, Data!$A$3:$A$100, 0), MATCH(M$3, Data!$B$1:$CN$1, 0)),
  txt, TO_TEXT(raw),
  IF(
    REGEXMATCH(txt, ""^\s*-?\d+(\.\d+)?\s*$""),
    VALUE(txt),
    ""-""
  )
)"),264.0)</f>
        <v>264</v>
      </c>
      <c r="N9" s="46">
        <f t="shared" si="3"/>
        <v>117</v>
      </c>
      <c r="O9" s="46">
        <f>IFERROR(__xludf.DUMMYFUNCTION("LET(
  raw, INDEX(Data!$B$3:$CN$100, MATCH($A9, Data!$A$3:$A$100, 0), MATCH(O$3, Data!$B$1:$CN$1, 0)),
  txt, TO_TEXT(raw),
  IF(
    REGEXMATCH(txt, ""^\s*-?\d+(\.\d+)?\s*$""),
    VALUE(txt),
    ""-""
  )
)"),27.7)</f>
        <v>27.7</v>
      </c>
      <c r="P9" s="46">
        <f>IFERROR(__xludf.DUMMYFUNCTION("LET(
  raw, INDEX(Data!$B$3:$CN$100, MATCH($A9, Data!$A$3:$A$100, 0), MATCH(P$3, Data!$B$1:$CN$1, 0)),
  txt, TO_TEXT(raw),
  IF(
    REGEXMATCH(txt, ""^\s*-?\d+(\.\d+)?\s*$""),
    VALUE(txt),
    ""-""
  )
)"),24.0)</f>
        <v>24</v>
      </c>
      <c r="Q9" s="46">
        <f t="shared" si="4"/>
        <v>-3.7</v>
      </c>
      <c r="R9" s="47">
        <v>0.0</v>
      </c>
      <c r="S9" s="47">
        <v>0.0</v>
      </c>
      <c r="T9" s="46">
        <f t="shared" si="5"/>
        <v>0</v>
      </c>
      <c r="U9" s="47">
        <v>18.0</v>
      </c>
      <c r="V9" s="47">
        <v>24.0</v>
      </c>
      <c r="W9" s="48">
        <f t="shared" si="6"/>
        <v>6</v>
      </c>
    </row>
    <row r="10">
      <c r="A10" s="45" t="str">
        <f>IFERROR(__xludf.DUMMYFUNCTION("""COMPUTED_VALUE"""),"13_GP")</f>
        <v>13_GP</v>
      </c>
      <c r="B10" s="46"/>
      <c r="C10" s="31" t="str">
        <f t="array" ref="C10">IFERROR(
  LET(
    startTxt, XLOOKUP(A10, Data!A:A, Data!E:E, ""),
    endTxt, XLOOKUP(A10, Data!A:A, Data!F:F, ""),
    startDate, DATE(VALUE(RIGHT(startTxt,4)),VALUE(MID(startTxt,4,2)),VALUE(LEFT(startTxt,2))),
    endDate, DATE(VALUE(RIGHT(endTxt,4)),VALUE(MID(endTxt,4,2)),VALUE(LEFT(endTxt,2))),
    YEARFRAC(startDate, endDate)
  ),
  ""
)</f>
        <v/>
      </c>
      <c r="D10" s="39" t="s">
        <v>22</v>
      </c>
      <c r="E10" s="46" t="str">
        <f>IFERROR(__xludf.DUMMYFUNCTION("LET(
  raw, INDEX(Data!$B$3:$CN$100, MATCH($A10, Data!$A$3:$A$100, 0), MATCH(E$3, Data!$B$1:$CN$1, 0)),
  txt, TO_TEXT(raw),
  val, IF(
    REGEXMATCH(txt, ""^\s*-?\d+(\.\d+)?\s*$""),
    VALUE(txt),
    """"
  ),
  IF(
    val=0,
    ""Gauche"",
    IF(
"&amp;"      val=1,
      ""Droit"",
      ""-""
    )
  )
)"),"-")</f>
        <v>-</v>
      </c>
      <c r="F10" s="46">
        <f>IFERROR(__xludf.DUMMYFUNCTION("LET(
  raw, INDEX(Data!$B$3:$CN$100, MATCH($A10, Data!$A$3:$A$100, 0), MATCH(F$3, Data!$B$1:$CN$1, 0)),
  txt, TO_TEXT(raw),
  IF(
    REGEXMATCH(txt, ""^\s*-?\d+(\.\d+)?\s*$""),
    VALUE(txt),
    ""-""
  )
)"),3.0)</f>
        <v>3</v>
      </c>
      <c r="G10" s="46">
        <f>IFERROR(__xludf.DUMMYFUNCTION("LET(
  raw, INDEX(Data!$B$3:$CN$100, MATCH($A10, Data!$A$3:$A$100, 0), MATCH(G$3, Data!$B$1:$CN$1, 0)),
  txt, TO_TEXT(raw),
  IF(
    REGEXMATCH(txt, ""^\s*-?\d+(\.\d+)?\s*$""),
    VALUE(txt),
    ""-""
  )
)"),7.0)</f>
        <v>7</v>
      </c>
      <c r="H10" s="46">
        <f t="shared" si="1"/>
        <v>4</v>
      </c>
      <c r="I10" s="46">
        <f>IFERROR(__xludf.DUMMYFUNCTION("LET(
  raw, INDEX(Data!$B$3:$CN$100, MATCH($A10, Data!$A$3:$A$100, 0), MATCH(I$3, Data!$B$1:$CN$1, 0)),
  txt, TO_TEXT(raw),
  IF(
    REGEXMATCH(txt, ""^\s*-?\d+(\.\d+)?\s*$""),
    VALUE(txt),
    ""-""
  )
)"),0.2127659574)</f>
        <v>0.2127659574</v>
      </c>
      <c r="J10" s="46">
        <f>IFERROR(__xludf.DUMMYFUNCTION("LET(
  raw, INDEX(Data!$B$3:$CN$100, MATCH($A10, Data!$A$3:$A$100, 0), MATCH(J$3, Data!$B$1:$CN$1, 0)),
  txt, TO_TEXT(raw),
  IF(
    REGEXMATCH(txt, ""^\s*-?\d+(\.\d+)?\s*$""),
    VALUE(txt),
    ""-""
  )
)"),1.100110011)</f>
        <v>1.100110011</v>
      </c>
      <c r="K10" s="46">
        <f t="shared" si="2"/>
        <v>0.8873440536</v>
      </c>
      <c r="L10" s="46">
        <f>IFERROR(__xludf.DUMMYFUNCTION("LET(
  raw, INDEX(Data!$B$3:$CN$100, MATCH($A10, Data!$A$3:$A$100, 0), MATCH(L$3, Data!$B$1:$CN$1, 0)),
  txt, TO_TEXT(raw),
  IF(
    REGEXMATCH(txt, ""^\s*-?\d+(\.\d+)?\s*$""),
    VALUE(txt),
    ""-""
  )
)"),252.0)</f>
        <v>252</v>
      </c>
      <c r="M10" s="46">
        <f>IFERROR(__xludf.DUMMYFUNCTION("LET(
  raw, INDEX(Data!$B$3:$CN$100, MATCH($A10, Data!$A$3:$A$100, 0), MATCH(M$3, Data!$B$1:$CN$1, 0)),
  txt, TO_TEXT(raw),
  IF(
    REGEXMATCH(txt, ""^\s*-?\d+(\.\d+)?\s*$""),
    VALUE(txt),
    ""-""
  )
)"),285.0)</f>
        <v>285</v>
      </c>
      <c r="N10" s="46">
        <f t="shared" si="3"/>
        <v>33</v>
      </c>
      <c r="O10" s="46">
        <f>IFERROR(__xludf.DUMMYFUNCTION("LET(
  raw, INDEX(Data!$B$3:$CN$100, MATCH($A10, Data!$A$3:$A$100, 0), MATCH(O$3, Data!$B$1:$CN$1, 0)),
  txt, TO_TEXT(raw),
  IF(
    REGEXMATCH(txt, ""^\s*-?\d+(\.\d+)?\s*$""),
    VALUE(txt),
    ""-""
  )
)"),17.8)</f>
        <v>17.8</v>
      </c>
      <c r="P10" s="46">
        <f>IFERROR(__xludf.DUMMYFUNCTION("LET(
  raw, INDEX(Data!$B$3:$CN$100, MATCH($A10, Data!$A$3:$A$100, 0), MATCH(P$3, Data!$B$1:$CN$1, 0)),
  txt, TO_TEXT(raw),
  IF(
    REGEXMATCH(txt, ""^\s*-?\d+(\.\d+)?\s*$""),
    VALUE(txt),
    ""-""
  )
)"),12.36)</f>
        <v>12.36</v>
      </c>
      <c r="Q10" s="46">
        <f t="shared" si="4"/>
        <v>-5.44</v>
      </c>
      <c r="R10" s="47">
        <v>3.0</v>
      </c>
      <c r="S10" s="47">
        <v>3.0</v>
      </c>
      <c r="T10" s="46">
        <f t="shared" si="5"/>
        <v>0</v>
      </c>
      <c r="U10" s="47">
        <v>16.0</v>
      </c>
      <c r="V10" s="47">
        <v>20.0</v>
      </c>
      <c r="W10" s="48">
        <f t="shared" si="6"/>
        <v>4</v>
      </c>
    </row>
    <row r="11">
      <c r="A11" s="49"/>
      <c r="B11" s="46"/>
      <c r="C11" s="46"/>
      <c r="D11" s="46"/>
      <c r="E11" s="46"/>
      <c r="F11" s="46"/>
      <c r="G11" s="46"/>
      <c r="H11" s="46"/>
      <c r="I11" s="46"/>
    </row>
    <row r="12">
      <c r="A12" s="49"/>
      <c r="B12" s="46"/>
      <c r="C12" s="46"/>
      <c r="D12" s="46"/>
      <c r="E12" s="46"/>
      <c r="F12" s="46"/>
      <c r="G12" s="46"/>
      <c r="H12" s="46"/>
      <c r="I12" s="46"/>
    </row>
    <row r="13">
      <c r="A13" s="49"/>
      <c r="B13" s="46"/>
      <c r="C13" s="46"/>
      <c r="D13" s="46"/>
      <c r="E13" s="46"/>
      <c r="F13" s="46"/>
      <c r="G13" s="46"/>
      <c r="H13" s="46"/>
      <c r="I13" s="46"/>
    </row>
    <row r="14">
      <c r="A14" s="49"/>
      <c r="B14" s="46"/>
      <c r="C14" s="46"/>
      <c r="D14" s="46"/>
      <c r="E14" s="46"/>
      <c r="F14" s="46"/>
      <c r="G14" s="46"/>
      <c r="H14" s="46"/>
      <c r="I14" s="46"/>
    </row>
    <row r="15">
      <c r="A15" s="49"/>
      <c r="B15" s="46"/>
      <c r="C15" s="46"/>
      <c r="D15" s="46"/>
      <c r="E15" s="46"/>
      <c r="F15" s="46"/>
      <c r="G15" s="46"/>
      <c r="H15" s="46"/>
      <c r="I15" s="46"/>
    </row>
    <row r="16">
      <c r="A16" s="49"/>
      <c r="B16" s="46"/>
      <c r="C16" s="46"/>
      <c r="D16" s="46"/>
      <c r="E16" s="46"/>
      <c r="F16" s="46"/>
      <c r="G16" s="46"/>
      <c r="H16" s="46"/>
      <c r="I16" s="46"/>
    </row>
    <row r="17">
      <c r="A17" s="49"/>
      <c r="B17" s="46"/>
      <c r="C17" s="46"/>
      <c r="D17" s="46"/>
      <c r="E17" s="46"/>
      <c r="F17" s="46"/>
      <c r="G17" s="46"/>
      <c r="H17" s="46"/>
      <c r="I17" s="46"/>
    </row>
    <row r="18">
      <c r="A18" s="49"/>
      <c r="B18" s="46"/>
      <c r="C18" s="46"/>
      <c r="D18" s="46"/>
      <c r="E18" s="46"/>
      <c r="F18" s="46"/>
      <c r="G18" s="46"/>
      <c r="H18" s="46"/>
      <c r="I18" s="46"/>
    </row>
    <row r="19">
      <c r="A19" s="49"/>
      <c r="B19" s="46"/>
      <c r="C19" s="46"/>
      <c r="D19" s="46"/>
      <c r="E19" s="46"/>
      <c r="F19" s="46"/>
      <c r="G19" s="46"/>
      <c r="H19" s="46"/>
      <c r="I19" s="46"/>
    </row>
    <row r="20">
      <c r="A20" s="49"/>
      <c r="B20" s="46"/>
      <c r="C20" s="46"/>
      <c r="D20" s="46"/>
      <c r="E20" s="46"/>
      <c r="F20" s="46"/>
      <c r="G20" s="46"/>
      <c r="H20" s="46"/>
      <c r="I20" s="46"/>
    </row>
    <row r="21">
      <c r="A21" s="49"/>
      <c r="B21" s="46"/>
      <c r="C21" s="46"/>
      <c r="D21" s="46"/>
      <c r="E21" s="46"/>
      <c r="F21" s="46"/>
      <c r="G21" s="46"/>
      <c r="H21" s="46"/>
      <c r="I21" s="46"/>
    </row>
    <row r="22">
      <c r="A22" s="49"/>
      <c r="B22" s="46"/>
      <c r="C22" s="46"/>
      <c r="D22" s="46"/>
      <c r="E22" s="46"/>
      <c r="F22" s="46"/>
      <c r="G22" s="46"/>
      <c r="H22" s="46"/>
      <c r="I22" s="46"/>
    </row>
    <row r="23">
      <c r="A23" s="49"/>
      <c r="B23" s="46"/>
      <c r="C23" s="46"/>
      <c r="D23" s="46"/>
      <c r="E23" s="46"/>
      <c r="F23" s="46"/>
      <c r="G23" s="46"/>
      <c r="H23" s="46"/>
      <c r="I23" s="46"/>
    </row>
    <row r="24">
      <c r="A24" s="49"/>
      <c r="B24" s="46"/>
      <c r="C24" s="46"/>
      <c r="D24" s="46"/>
      <c r="E24" s="46"/>
      <c r="F24" s="46"/>
      <c r="G24" s="46"/>
      <c r="H24" s="46"/>
      <c r="I24" s="46"/>
    </row>
    <row r="25">
      <c r="A25" s="49"/>
      <c r="B25" s="46"/>
      <c r="C25" s="46"/>
      <c r="D25" s="46"/>
      <c r="E25" s="46"/>
      <c r="F25" s="46"/>
      <c r="G25" s="46"/>
      <c r="H25" s="46"/>
      <c r="I25" s="46"/>
    </row>
    <row r="26">
      <c r="A26" s="49"/>
      <c r="B26" s="46"/>
      <c r="C26" s="46"/>
      <c r="D26" s="46"/>
      <c r="E26" s="46"/>
      <c r="F26" s="46"/>
      <c r="G26" s="46"/>
      <c r="H26" s="46"/>
      <c r="I26" s="46"/>
    </row>
    <row r="27">
      <c r="A27" s="49"/>
      <c r="B27" s="46"/>
      <c r="C27" s="46"/>
      <c r="D27" s="46"/>
      <c r="E27" s="46"/>
      <c r="F27" s="46"/>
      <c r="G27" s="46"/>
      <c r="H27" s="46"/>
      <c r="I27" s="46"/>
    </row>
    <row r="28">
      <c r="A28" s="49"/>
      <c r="B28" s="46"/>
      <c r="C28" s="46"/>
      <c r="D28" s="46"/>
      <c r="E28" s="46"/>
      <c r="F28" s="46"/>
      <c r="G28" s="46"/>
      <c r="H28" s="46"/>
      <c r="I28" s="46"/>
    </row>
    <row r="29">
      <c r="A29" s="49"/>
      <c r="B29" s="46"/>
      <c r="C29" s="46"/>
      <c r="D29" s="46"/>
      <c r="E29" s="46"/>
      <c r="F29" s="46"/>
      <c r="G29" s="46"/>
      <c r="H29" s="46"/>
      <c r="I29" s="46"/>
    </row>
    <row r="30">
      <c r="A30" s="49"/>
      <c r="B30" s="46"/>
      <c r="C30" s="46"/>
      <c r="D30" s="46"/>
      <c r="E30" s="46"/>
      <c r="F30" s="46"/>
      <c r="G30" s="46"/>
      <c r="H30" s="46"/>
      <c r="I30" s="46"/>
    </row>
    <row r="31">
      <c r="A31" s="49"/>
      <c r="B31" s="46"/>
      <c r="C31" s="46"/>
      <c r="D31" s="46"/>
      <c r="E31" s="46"/>
      <c r="F31" s="46"/>
      <c r="G31" s="46"/>
      <c r="H31" s="46"/>
      <c r="I31" s="46"/>
    </row>
    <row r="32">
      <c r="A32" s="49"/>
      <c r="B32" s="46"/>
      <c r="C32" s="46"/>
      <c r="D32" s="46"/>
      <c r="E32" s="46"/>
      <c r="F32" s="46"/>
      <c r="G32" s="46"/>
      <c r="H32" s="46"/>
      <c r="I32" s="46"/>
    </row>
    <row r="33">
      <c r="A33" s="49"/>
      <c r="B33" s="46"/>
      <c r="C33" s="46"/>
      <c r="D33" s="46"/>
      <c r="E33" s="46"/>
      <c r="F33" s="46"/>
      <c r="G33" s="46"/>
      <c r="H33" s="46"/>
      <c r="I33" s="46"/>
    </row>
    <row r="34">
      <c r="A34" s="49"/>
      <c r="B34" s="46"/>
      <c r="C34" s="46"/>
      <c r="D34" s="46"/>
      <c r="E34" s="46"/>
      <c r="F34" s="46"/>
      <c r="G34" s="46"/>
      <c r="H34" s="46"/>
      <c r="I34" s="46"/>
    </row>
    <row r="35">
      <c r="A35" s="49"/>
      <c r="B35" s="46"/>
      <c r="C35" s="46"/>
      <c r="D35" s="46"/>
      <c r="E35" s="46"/>
      <c r="F35" s="46"/>
      <c r="G35" s="46"/>
      <c r="H35" s="46"/>
      <c r="I35" s="46"/>
    </row>
    <row r="36">
      <c r="A36" s="49"/>
      <c r="B36" s="46"/>
      <c r="C36" s="46"/>
      <c r="D36" s="46"/>
      <c r="E36" s="46"/>
      <c r="F36" s="46"/>
      <c r="G36" s="46"/>
      <c r="H36" s="46"/>
      <c r="I36" s="46"/>
    </row>
    <row r="37">
      <c r="A37" s="49"/>
      <c r="B37" s="46"/>
      <c r="C37" s="46"/>
      <c r="D37" s="46"/>
      <c r="E37" s="46"/>
      <c r="F37" s="46"/>
      <c r="G37" s="46"/>
      <c r="H37" s="46"/>
      <c r="I37" s="46"/>
    </row>
    <row r="38">
      <c r="A38" s="49"/>
      <c r="B38" s="46"/>
      <c r="C38" s="46"/>
      <c r="D38" s="46"/>
      <c r="E38" s="46"/>
      <c r="F38" s="46"/>
      <c r="G38" s="46"/>
      <c r="H38" s="46"/>
      <c r="I38" s="46"/>
    </row>
    <row r="39">
      <c r="A39" s="49"/>
      <c r="B39" s="46"/>
      <c r="C39" s="46"/>
      <c r="D39" s="46"/>
      <c r="E39" s="46"/>
      <c r="F39" s="46"/>
      <c r="G39" s="46"/>
      <c r="H39" s="46"/>
      <c r="I39" s="46"/>
    </row>
    <row r="40">
      <c r="A40" s="49"/>
      <c r="B40" s="46"/>
      <c r="C40" s="46"/>
      <c r="D40" s="46"/>
      <c r="E40" s="46"/>
      <c r="F40" s="46"/>
      <c r="G40" s="46"/>
      <c r="H40" s="46"/>
      <c r="I40" s="46"/>
    </row>
    <row r="41">
      <c r="A41" s="49"/>
      <c r="B41" s="46"/>
      <c r="C41" s="46"/>
      <c r="D41" s="46"/>
      <c r="E41" s="46"/>
      <c r="F41" s="46"/>
      <c r="G41" s="46"/>
      <c r="H41" s="46"/>
      <c r="I41" s="46"/>
    </row>
    <row r="42">
      <c r="A42" s="49"/>
      <c r="B42" s="46"/>
      <c r="C42" s="46"/>
      <c r="D42" s="46"/>
      <c r="E42" s="46"/>
      <c r="F42" s="46"/>
      <c r="G42" s="46"/>
      <c r="H42" s="46"/>
      <c r="I42" s="46"/>
    </row>
    <row r="43">
      <c r="A43" s="49"/>
      <c r="B43" s="46"/>
      <c r="C43" s="46"/>
      <c r="D43" s="46"/>
      <c r="E43" s="46"/>
      <c r="F43" s="46"/>
      <c r="G43" s="46"/>
      <c r="H43" s="46"/>
      <c r="I43" s="46"/>
    </row>
    <row r="44">
      <c r="A44" s="49"/>
      <c r="B44" s="46"/>
      <c r="C44" s="46"/>
      <c r="D44" s="46"/>
      <c r="E44" s="46"/>
      <c r="F44" s="46"/>
      <c r="G44" s="46"/>
      <c r="H44" s="46"/>
      <c r="I44" s="46"/>
    </row>
    <row r="45">
      <c r="A45" s="49"/>
      <c r="B45" s="46"/>
      <c r="C45" s="46"/>
      <c r="D45" s="46"/>
      <c r="E45" s="46"/>
      <c r="F45" s="46"/>
      <c r="G45" s="46"/>
      <c r="H45" s="46"/>
      <c r="I45" s="46"/>
    </row>
    <row r="46">
      <c r="A46" s="49"/>
      <c r="B46" s="46"/>
      <c r="C46" s="46"/>
      <c r="D46" s="46"/>
      <c r="E46" s="46"/>
      <c r="F46" s="46"/>
      <c r="G46" s="46"/>
      <c r="H46" s="46"/>
      <c r="I46" s="46"/>
    </row>
    <row r="47">
      <c r="A47" s="49"/>
      <c r="B47" s="46"/>
      <c r="C47" s="46"/>
      <c r="D47" s="46"/>
      <c r="E47" s="46"/>
      <c r="F47" s="46"/>
      <c r="G47" s="46"/>
      <c r="H47" s="46"/>
      <c r="I47" s="46"/>
    </row>
    <row r="48">
      <c r="A48" s="49"/>
      <c r="B48" s="46"/>
      <c r="C48" s="46"/>
      <c r="D48" s="46"/>
      <c r="E48" s="46"/>
      <c r="F48" s="46"/>
      <c r="G48" s="46"/>
      <c r="H48" s="46"/>
      <c r="I48" s="46"/>
    </row>
    <row r="49">
      <c r="A49" s="49"/>
      <c r="B49" s="46"/>
      <c r="C49" s="46"/>
      <c r="D49" s="46"/>
      <c r="E49" s="46"/>
      <c r="F49" s="46"/>
      <c r="G49" s="46"/>
      <c r="H49" s="46"/>
      <c r="I49" s="46"/>
    </row>
    <row r="50">
      <c r="A50" s="49"/>
      <c r="B50" s="46"/>
      <c r="C50" s="46"/>
      <c r="D50" s="46"/>
      <c r="E50" s="46"/>
      <c r="F50" s="46"/>
      <c r="G50" s="46"/>
      <c r="H50" s="46"/>
      <c r="I50" s="46"/>
    </row>
    <row r="51">
      <c r="A51" s="49"/>
      <c r="B51" s="46"/>
      <c r="C51" s="46"/>
      <c r="D51" s="46"/>
      <c r="E51" s="46"/>
      <c r="F51" s="46"/>
      <c r="G51" s="46"/>
      <c r="H51" s="46"/>
      <c r="I51" s="46"/>
    </row>
    <row r="52">
      <c r="A52" s="49"/>
      <c r="B52" s="46"/>
      <c r="C52" s="46"/>
      <c r="D52" s="46"/>
      <c r="E52" s="46"/>
      <c r="F52" s="46"/>
      <c r="G52" s="46"/>
      <c r="H52" s="46"/>
      <c r="I52" s="46"/>
    </row>
    <row r="53">
      <c r="A53" s="49"/>
      <c r="B53" s="46"/>
      <c r="C53" s="46"/>
      <c r="D53" s="46"/>
      <c r="E53" s="46"/>
      <c r="F53" s="46"/>
      <c r="G53" s="46"/>
      <c r="H53" s="46"/>
      <c r="I53" s="46"/>
    </row>
    <row r="54">
      <c r="A54" s="49"/>
      <c r="B54" s="46"/>
      <c r="C54" s="46"/>
      <c r="D54" s="46"/>
      <c r="E54" s="46"/>
      <c r="F54" s="46"/>
      <c r="G54" s="46"/>
      <c r="H54" s="46"/>
      <c r="I54" s="46"/>
    </row>
    <row r="55">
      <c r="A55" s="49"/>
      <c r="B55" s="46"/>
      <c r="C55" s="46"/>
      <c r="D55" s="46"/>
      <c r="E55" s="46"/>
      <c r="F55" s="46"/>
      <c r="G55" s="46"/>
      <c r="H55" s="46"/>
      <c r="I55" s="46"/>
    </row>
    <row r="56">
      <c r="A56" s="49"/>
      <c r="B56" s="46"/>
      <c r="C56" s="46"/>
      <c r="D56" s="46"/>
      <c r="E56" s="46"/>
      <c r="F56" s="46"/>
      <c r="G56" s="46"/>
      <c r="H56" s="46"/>
      <c r="I56" s="46"/>
    </row>
    <row r="57">
      <c r="A57" s="49"/>
      <c r="B57" s="46"/>
      <c r="C57" s="46"/>
      <c r="D57" s="46"/>
      <c r="E57" s="46"/>
      <c r="F57" s="46"/>
      <c r="G57" s="46"/>
      <c r="H57" s="46"/>
      <c r="I57" s="46"/>
    </row>
    <row r="58">
      <c r="A58" s="49"/>
      <c r="B58" s="46"/>
      <c r="C58" s="46"/>
      <c r="D58" s="46"/>
      <c r="E58" s="46"/>
      <c r="F58" s="46"/>
      <c r="G58" s="46"/>
      <c r="H58" s="46"/>
      <c r="I58" s="46"/>
    </row>
    <row r="59">
      <c r="A59" s="49"/>
      <c r="B59" s="46"/>
      <c r="C59" s="46"/>
      <c r="D59" s="46"/>
      <c r="E59" s="46"/>
      <c r="F59" s="46"/>
      <c r="G59" s="46"/>
      <c r="H59" s="46"/>
      <c r="I59" s="46"/>
    </row>
    <row r="60">
      <c r="A60" s="49"/>
      <c r="B60" s="46"/>
      <c r="C60" s="46"/>
      <c r="D60" s="46"/>
      <c r="E60" s="46"/>
      <c r="F60" s="46"/>
      <c r="G60" s="46"/>
      <c r="H60" s="46"/>
      <c r="I60" s="46"/>
    </row>
    <row r="61">
      <c r="A61" s="49"/>
      <c r="B61" s="46"/>
      <c r="C61" s="46"/>
      <c r="D61" s="46"/>
      <c r="E61" s="46"/>
      <c r="F61" s="46"/>
      <c r="G61" s="46"/>
      <c r="H61" s="46"/>
      <c r="I61" s="46"/>
    </row>
    <row r="62">
      <c r="A62" s="49"/>
      <c r="B62" s="46"/>
      <c r="C62" s="46"/>
      <c r="D62" s="46"/>
      <c r="E62" s="46"/>
      <c r="F62" s="46"/>
      <c r="G62" s="46"/>
      <c r="H62" s="46"/>
      <c r="I62" s="46"/>
    </row>
    <row r="63">
      <c r="A63" s="49"/>
      <c r="B63" s="46"/>
      <c r="C63" s="46"/>
      <c r="D63" s="46"/>
      <c r="E63" s="46"/>
      <c r="F63" s="46"/>
      <c r="G63" s="46"/>
      <c r="H63" s="46"/>
      <c r="I63" s="46"/>
    </row>
    <row r="64">
      <c r="A64" s="49"/>
      <c r="B64" s="46"/>
      <c r="C64" s="46"/>
      <c r="D64" s="46"/>
      <c r="E64" s="46"/>
      <c r="F64" s="46"/>
      <c r="G64" s="46"/>
      <c r="H64" s="46"/>
      <c r="I64" s="46"/>
    </row>
    <row r="65">
      <c r="A65" s="49"/>
      <c r="B65" s="46"/>
      <c r="C65" s="46"/>
      <c r="D65" s="46"/>
      <c r="E65" s="46"/>
      <c r="F65" s="46"/>
      <c r="G65" s="46"/>
      <c r="H65" s="46"/>
      <c r="I65" s="46"/>
    </row>
    <row r="66">
      <c r="A66" s="49"/>
      <c r="B66" s="46"/>
      <c r="C66" s="46"/>
      <c r="D66" s="46"/>
      <c r="E66" s="46"/>
      <c r="F66" s="46"/>
      <c r="G66" s="46"/>
      <c r="H66" s="46"/>
      <c r="I66" s="46"/>
    </row>
    <row r="67">
      <c r="A67" s="49"/>
      <c r="B67" s="46"/>
      <c r="C67" s="46"/>
      <c r="D67" s="46"/>
      <c r="E67" s="46"/>
      <c r="F67" s="46"/>
      <c r="G67" s="46"/>
      <c r="H67" s="46"/>
      <c r="I67" s="46"/>
    </row>
    <row r="68">
      <c r="A68" s="49"/>
      <c r="B68" s="46"/>
      <c r="C68" s="46"/>
      <c r="D68" s="46"/>
      <c r="E68" s="46"/>
      <c r="F68" s="46"/>
      <c r="G68" s="46"/>
      <c r="H68" s="46"/>
      <c r="I68" s="46"/>
    </row>
    <row r="69">
      <c r="A69" s="49"/>
      <c r="B69" s="46"/>
      <c r="C69" s="46"/>
      <c r="D69" s="46"/>
      <c r="E69" s="46"/>
      <c r="F69" s="46"/>
      <c r="G69" s="46"/>
      <c r="H69" s="46"/>
      <c r="I69" s="46"/>
    </row>
    <row r="70">
      <c r="A70" s="49"/>
      <c r="B70" s="46"/>
      <c r="C70" s="46"/>
      <c r="D70" s="46"/>
      <c r="E70" s="46"/>
      <c r="F70" s="46"/>
      <c r="G70" s="46"/>
      <c r="H70" s="46"/>
      <c r="I70" s="46"/>
    </row>
    <row r="71">
      <c r="A71" s="49"/>
      <c r="B71" s="46"/>
      <c r="C71" s="46"/>
      <c r="D71" s="46"/>
      <c r="E71" s="46"/>
      <c r="F71" s="46"/>
      <c r="G71" s="46"/>
      <c r="H71" s="46"/>
      <c r="I71" s="46"/>
    </row>
    <row r="72">
      <c r="A72" s="49"/>
      <c r="B72" s="46"/>
      <c r="C72" s="46"/>
      <c r="D72" s="46"/>
      <c r="E72" s="46"/>
      <c r="F72" s="46"/>
      <c r="G72" s="46"/>
      <c r="H72" s="46"/>
      <c r="I72" s="46"/>
    </row>
    <row r="73">
      <c r="A73" s="49"/>
      <c r="B73" s="46"/>
      <c r="C73" s="46"/>
      <c r="D73" s="46"/>
      <c r="E73" s="46"/>
      <c r="F73" s="46"/>
      <c r="G73" s="46"/>
      <c r="H73" s="46"/>
      <c r="I73" s="46"/>
    </row>
    <row r="74">
      <c r="A74" s="49"/>
      <c r="B74" s="46"/>
      <c r="C74" s="46"/>
      <c r="D74" s="46"/>
      <c r="E74" s="46"/>
      <c r="F74" s="46"/>
      <c r="G74" s="46"/>
      <c r="H74" s="46"/>
      <c r="I74" s="46"/>
    </row>
    <row r="75">
      <c r="A75" s="49"/>
      <c r="B75" s="46"/>
      <c r="C75" s="46"/>
      <c r="D75" s="46"/>
      <c r="E75" s="46"/>
      <c r="F75" s="46"/>
      <c r="G75" s="46"/>
      <c r="H75" s="46"/>
      <c r="I75" s="46"/>
    </row>
    <row r="76">
      <c r="A76" s="49"/>
      <c r="B76" s="46"/>
      <c r="C76" s="46"/>
      <c r="D76" s="46"/>
      <c r="E76" s="46"/>
      <c r="F76" s="46"/>
      <c r="G76" s="46"/>
      <c r="H76" s="46"/>
      <c r="I76" s="46"/>
    </row>
    <row r="77">
      <c r="A77" s="49"/>
      <c r="B77" s="46"/>
      <c r="C77" s="46"/>
      <c r="D77" s="46"/>
      <c r="E77" s="46"/>
      <c r="F77" s="46"/>
      <c r="G77" s="46"/>
      <c r="H77" s="46"/>
      <c r="I77" s="46"/>
    </row>
    <row r="78">
      <c r="A78" s="49"/>
      <c r="B78" s="46"/>
      <c r="C78" s="46"/>
      <c r="D78" s="46"/>
      <c r="E78" s="46"/>
      <c r="F78" s="46"/>
      <c r="G78" s="46"/>
      <c r="H78" s="46"/>
      <c r="I78" s="46"/>
    </row>
    <row r="79">
      <c r="A79" s="49"/>
      <c r="B79" s="46"/>
      <c r="C79" s="46"/>
      <c r="D79" s="46"/>
      <c r="E79" s="46"/>
      <c r="F79" s="46"/>
      <c r="G79" s="46"/>
      <c r="H79" s="46"/>
      <c r="I79" s="46"/>
    </row>
    <row r="80">
      <c r="A80" s="49"/>
      <c r="B80" s="46"/>
      <c r="C80" s="46"/>
      <c r="D80" s="46"/>
      <c r="E80" s="46"/>
      <c r="F80" s="46"/>
      <c r="G80" s="46"/>
      <c r="H80" s="46"/>
      <c r="I80" s="46"/>
    </row>
    <row r="81">
      <c r="A81" s="49"/>
      <c r="B81" s="46"/>
      <c r="C81" s="46"/>
      <c r="D81" s="46"/>
      <c r="E81" s="46"/>
      <c r="F81" s="46"/>
      <c r="G81" s="46"/>
      <c r="H81" s="46"/>
      <c r="I81" s="46"/>
    </row>
    <row r="82">
      <c r="A82" s="49"/>
      <c r="B82" s="46"/>
      <c r="C82" s="46"/>
      <c r="D82" s="46"/>
      <c r="E82" s="46"/>
      <c r="F82" s="46"/>
      <c r="G82" s="46"/>
      <c r="H82" s="46"/>
      <c r="I82" s="46"/>
    </row>
    <row r="83">
      <c r="A83" s="49"/>
      <c r="B83" s="46"/>
      <c r="C83" s="46"/>
      <c r="D83" s="46"/>
      <c r="E83" s="46"/>
      <c r="F83" s="46"/>
      <c r="G83" s="46"/>
      <c r="H83" s="46"/>
      <c r="I83" s="46"/>
    </row>
    <row r="84">
      <c r="A84" s="49"/>
      <c r="B84" s="46"/>
      <c r="C84" s="46"/>
      <c r="D84" s="46"/>
      <c r="E84" s="46"/>
      <c r="F84" s="46"/>
      <c r="G84" s="46"/>
      <c r="H84" s="46"/>
      <c r="I84" s="46"/>
    </row>
    <row r="85">
      <c r="A85" s="49"/>
      <c r="B85" s="46"/>
      <c r="C85" s="46"/>
      <c r="D85" s="46"/>
      <c r="E85" s="46"/>
      <c r="F85" s="46"/>
      <c r="G85" s="46"/>
      <c r="H85" s="46"/>
      <c r="I85" s="46"/>
    </row>
    <row r="86">
      <c r="A86" s="49"/>
      <c r="B86" s="46"/>
      <c r="C86" s="46"/>
      <c r="D86" s="46"/>
      <c r="E86" s="46"/>
      <c r="F86" s="46"/>
      <c r="G86" s="46"/>
      <c r="H86" s="46"/>
      <c r="I86" s="46"/>
    </row>
    <row r="87">
      <c r="A87" s="49"/>
      <c r="B87" s="46"/>
      <c r="C87" s="46"/>
      <c r="D87" s="46"/>
      <c r="E87" s="46"/>
      <c r="F87" s="46"/>
      <c r="G87" s="46"/>
      <c r="H87" s="46"/>
      <c r="I87" s="46"/>
    </row>
    <row r="88">
      <c r="A88" s="49"/>
      <c r="B88" s="46"/>
      <c r="C88" s="46"/>
      <c r="D88" s="46"/>
      <c r="E88" s="46"/>
      <c r="F88" s="46"/>
      <c r="G88" s="46"/>
      <c r="H88" s="46"/>
      <c r="I88" s="46"/>
    </row>
    <row r="89">
      <c r="A89" s="49"/>
      <c r="B89" s="46"/>
      <c r="C89" s="46"/>
      <c r="D89" s="46"/>
      <c r="E89" s="46"/>
      <c r="F89" s="46"/>
      <c r="G89" s="46"/>
      <c r="H89" s="46"/>
      <c r="I89" s="46"/>
    </row>
    <row r="90">
      <c r="A90" s="49"/>
      <c r="B90" s="46"/>
      <c r="C90" s="46"/>
      <c r="D90" s="46"/>
      <c r="E90" s="46"/>
      <c r="F90" s="46"/>
      <c r="G90" s="46"/>
      <c r="H90" s="46"/>
      <c r="I90" s="46"/>
    </row>
    <row r="91">
      <c r="A91" s="49"/>
      <c r="B91" s="46"/>
      <c r="C91" s="46"/>
      <c r="D91" s="46"/>
      <c r="E91" s="46"/>
      <c r="F91" s="46"/>
      <c r="G91" s="46"/>
      <c r="H91" s="46"/>
      <c r="I91" s="46"/>
    </row>
    <row r="92">
      <c r="A92" s="49"/>
      <c r="B92" s="46"/>
      <c r="C92" s="46"/>
      <c r="D92" s="46"/>
      <c r="E92" s="46"/>
      <c r="F92" s="46"/>
      <c r="G92" s="46"/>
      <c r="H92" s="46"/>
      <c r="I92" s="46"/>
    </row>
    <row r="93">
      <c r="A93" s="49"/>
      <c r="B93" s="46"/>
      <c r="C93" s="46"/>
      <c r="D93" s="46"/>
      <c r="E93" s="46"/>
      <c r="F93" s="46"/>
      <c r="G93" s="46"/>
      <c r="H93" s="46"/>
      <c r="I93" s="46"/>
    </row>
    <row r="94">
      <c r="A94" s="49"/>
      <c r="B94" s="46"/>
      <c r="C94" s="46"/>
      <c r="D94" s="46"/>
      <c r="E94" s="46"/>
      <c r="F94" s="46"/>
      <c r="G94" s="46"/>
      <c r="H94" s="46"/>
      <c r="I94" s="46"/>
    </row>
    <row r="95">
      <c r="A95" s="49"/>
      <c r="B95" s="46"/>
      <c r="C95" s="46"/>
      <c r="D95" s="46"/>
      <c r="E95" s="46"/>
      <c r="F95" s="46"/>
      <c r="G95" s="46"/>
      <c r="H95" s="46"/>
      <c r="I95" s="46"/>
    </row>
    <row r="96">
      <c r="A96" s="49"/>
      <c r="B96" s="46"/>
      <c r="C96" s="46"/>
      <c r="D96" s="46"/>
      <c r="E96" s="46"/>
      <c r="F96" s="46"/>
      <c r="G96" s="46"/>
      <c r="H96" s="46"/>
      <c r="I96" s="46"/>
    </row>
    <row r="97">
      <c r="A97" s="49"/>
      <c r="B97" s="46"/>
      <c r="C97" s="46"/>
      <c r="D97" s="46"/>
      <c r="E97" s="46"/>
      <c r="F97" s="46"/>
      <c r="G97" s="46"/>
      <c r="H97" s="46"/>
      <c r="I97" s="46"/>
    </row>
    <row r="98">
      <c r="A98" s="49"/>
      <c r="B98" s="46"/>
      <c r="C98" s="46"/>
      <c r="D98" s="46"/>
      <c r="E98" s="46"/>
      <c r="F98" s="46"/>
      <c r="G98" s="46"/>
      <c r="H98" s="46"/>
      <c r="I98" s="46"/>
    </row>
    <row r="99">
      <c r="A99" s="49"/>
      <c r="B99" s="46"/>
      <c r="C99" s="46"/>
      <c r="D99" s="46"/>
      <c r="E99" s="46"/>
      <c r="F99" s="46"/>
      <c r="G99" s="46"/>
      <c r="H99" s="46"/>
      <c r="I99" s="46"/>
    </row>
    <row r="100">
      <c r="A100" s="49"/>
      <c r="B100" s="46"/>
      <c r="C100" s="46"/>
      <c r="D100" s="46"/>
      <c r="E100" s="46"/>
      <c r="F100" s="46"/>
      <c r="G100" s="46"/>
      <c r="H100" s="46"/>
      <c r="I100" s="46"/>
    </row>
    <row r="101">
      <c r="A101" s="49"/>
      <c r="B101" s="46"/>
      <c r="C101" s="46"/>
      <c r="D101" s="46"/>
      <c r="E101" s="46"/>
      <c r="F101" s="46"/>
      <c r="G101" s="46"/>
      <c r="H101" s="46"/>
      <c r="I101" s="46"/>
    </row>
    <row r="102">
      <c r="A102" s="49"/>
      <c r="B102" s="46"/>
      <c r="C102" s="46"/>
      <c r="D102" s="46"/>
      <c r="E102" s="46"/>
      <c r="F102" s="46"/>
      <c r="G102" s="46"/>
      <c r="H102" s="46"/>
      <c r="I102" s="46"/>
    </row>
    <row r="103">
      <c r="A103" s="49"/>
      <c r="B103" s="46"/>
      <c r="C103" s="46"/>
      <c r="D103" s="46"/>
      <c r="E103" s="46"/>
      <c r="F103" s="46"/>
      <c r="G103" s="46"/>
      <c r="H103" s="46"/>
      <c r="I103" s="46"/>
    </row>
    <row r="104">
      <c r="A104" s="49"/>
      <c r="B104" s="46"/>
      <c r="C104" s="46"/>
      <c r="D104" s="46"/>
      <c r="E104" s="46"/>
      <c r="F104" s="46"/>
      <c r="G104" s="46"/>
      <c r="H104" s="46"/>
      <c r="I104" s="46"/>
    </row>
    <row r="105">
      <c r="A105" s="49"/>
      <c r="B105" s="46"/>
      <c r="C105" s="46"/>
      <c r="D105" s="46"/>
      <c r="E105" s="46"/>
      <c r="F105" s="46"/>
      <c r="G105" s="46"/>
      <c r="H105" s="46"/>
      <c r="I105" s="46"/>
    </row>
    <row r="106">
      <c r="A106" s="49"/>
      <c r="B106" s="46"/>
      <c r="C106" s="46"/>
      <c r="D106" s="46"/>
      <c r="E106" s="46"/>
      <c r="F106" s="46"/>
      <c r="G106" s="46"/>
      <c r="H106" s="46"/>
      <c r="I106" s="46"/>
    </row>
    <row r="107">
      <c r="A107" s="49"/>
      <c r="B107" s="46"/>
      <c r="C107" s="46"/>
      <c r="D107" s="46"/>
      <c r="E107" s="46"/>
      <c r="F107" s="46"/>
      <c r="G107" s="46"/>
      <c r="H107" s="46"/>
      <c r="I107" s="46"/>
    </row>
    <row r="108">
      <c r="A108" s="49"/>
      <c r="B108" s="46"/>
      <c r="C108" s="46"/>
      <c r="D108" s="46"/>
      <c r="E108" s="46"/>
      <c r="F108" s="46"/>
      <c r="G108" s="46"/>
      <c r="H108" s="46"/>
      <c r="I108" s="46"/>
    </row>
    <row r="109">
      <c r="A109" s="49"/>
      <c r="B109" s="46"/>
      <c r="C109" s="46"/>
      <c r="D109" s="46"/>
      <c r="E109" s="46"/>
      <c r="F109" s="46"/>
      <c r="G109" s="46"/>
      <c r="H109" s="46"/>
      <c r="I109" s="46"/>
    </row>
    <row r="110">
      <c r="A110" s="49"/>
      <c r="B110" s="46"/>
      <c r="C110" s="46"/>
      <c r="D110" s="46"/>
      <c r="E110" s="46"/>
      <c r="F110" s="46"/>
      <c r="G110" s="46"/>
      <c r="H110" s="46"/>
      <c r="I110" s="46"/>
    </row>
    <row r="111">
      <c r="A111" s="49"/>
      <c r="B111" s="46"/>
      <c r="C111" s="46"/>
      <c r="D111" s="46"/>
      <c r="E111" s="46"/>
      <c r="F111" s="46"/>
      <c r="G111" s="46"/>
      <c r="H111" s="46"/>
      <c r="I111" s="46"/>
    </row>
    <row r="112">
      <c r="A112" s="49"/>
      <c r="B112" s="46"/>
      <c r="C112" s="46"/>
      <c r="D112" s="46"/>
      <c r="E112" s="46"/>
      <c r="F112" s="46"/>
      <c r="G112" s="46"/>
      <c r="H112" s="46"/>
      <c r="I112" s="46"/>
    </row>
    <row r="113">
      <c r="A113" s="49"/>
      <c r="B113" s="46"/>
      <c r="C113" s="46"/>
      <c r="D113" s="46"/>
      <c r="E113" s="46"/>
      <c r="F113" s="46"/>
      <c r="G113" s="46"/>
      <c r="H113" s="46"/>
      <c r="I113" s="46"/>
    </row>
    <row r="114">
      <c r="A114" s="49"/>
      <c r="B114" s="46"/>
      <c r="C114" s="46"/>
      <c r="D114" s="46"/>
      <c r="E114" s="46"/>
      <c r="F114" s="46"/>
      <c r="G114" s="46"/>
      <c r="H114" s="46"/>
      <c r="I114" s="46"/>
    </row>
    <row r="115">
      <c r="A115" s="49"/>
      <c r="B115" s="46"/>
      <c r="C115" s="46"/>
      <c r="D115" s="46"/>
      <c r="E115" s="46"/>
      <c r="F115" s="46"/>
      <c r="G115" s="46"/>
      <c r="H115" s="46"/>
      <c r="I115" s="46"/>
    </row>
    <row r="116">
      <c r="A116" s="49"/>
      <c r="B116" s="46"/>
      <c r="C116" s="46"/>
      <c r="D116" s="46"/>
      <c r="E116" s="46"/>
      <c r="F116" s="46"/>
      <c r="G116" s="46"/>
      <c r="H116" s="46"/>
      <c r="I116" s="46"/>
    </row>
    <row r="117">
      <c r="A117" s="49"/>
      <c r="B117" s="46"/>
      <c r="C117" s="46"/>
      <c r="D117" s="46"/>
      <c r="E117" s="46"/>
      <c r="F117" s="46"/>
      <c r="G117" s="46"/>
      <c r="H117" s="46"/>
      <c r="I117" s="46"/>
    </row>
    <row r="118">
      <c r="A118" s="49"/>
      <c r="B118" s="46"/>
      <c r="C118" s="46"/>
      <c r="D118" s="46"/>
      <c r="E118" s="46"/>
      <c r="F118" s="46"/>
      <c r="G118" s="46"/>
      <c r="H118" s="46"/>
      <c r="I118" s="46"/>
    </row>
    <row r="119">
      <c r="A119" s="49"/>
      <c r="B119" s="46"/>
      <c r="C119" s="46"/>
      <c r="D119" s="46"/>
      <c r="E119" s="46"/>
      <c r="F119" s="46"/>
      <c r="G119" s="46"/>
      <c r="H119" s="46"/>
      <c r="I119" s="46"/>
    </row>
    <row r="120">
      <c r="A120" s="49"/>
      <c r="B120" s="46"/>
      <c r="C120" s="46"/>
      <c r="D120" s="46"/>
      <c r="E120" s="46"/>
      <c r="F120" s="46"/>
      <c r="G120" s="46"/>
      <c r="H120" s="46"/>
      <c r="I120" s="46"/>
    </row>
    <row r="121">
      <c r="A121" s="49"/>
      <c r="B121" s="46"/>
      <c r="C121" s="46"/>
      <c r="D121" s="46"/>
      <c r="E121" s="46"/>
      <c r="F121" s="46"/>
      <c r="G121" s="46"/>
      <c r="H121" s="46"/>
      <c r="I121" s="46"/>
    </row>
    <row r="122">
      <c r="A122" s="49"/>
      <c r="B122" s="46"/>
      <c r="C122" s="46"/>
      <c r="D122" s="46"/>
      <c r="E122" s="46"/>
      <c r="F122" s="46"/>
      <c r="G122" s="46"/>
      <c r="H122" s="46"/>
      <c r="I122" s="46"/>
    </row>
    <row r="123">
      <c r="A123" s="49"/>
      <c r="B123" s="46"/>
      <c r="C123" s="46"/>
      <c r="D123" s="46"/>
      <c r="E123" s="46"/>
      <c r="F123" s="46"/>
      <c r="G123" s="46"/>
      <c r="H123" s="46"/>
      <c r="I123" s="46"/>
    </row>
    <row r="124">
      <c r="A124" s="49"/>
      <c r="B124" s="46"/>
      <c r="C124" s="46"/>
      <c r="D124" s="46"/>
      <c r="E124" s="46"/>
      <c r="F124" s="46"/>
      <c r="G124" s="46"/>
      <c r="H124" s="46"/>
      <c r="I124" s="46"/>
    </row>
    <row r="125">
      <c r="A125" s="49"/>
      <c r="B125" s="46"/>
      <c r="C125" s="46"/>
      <c r="D125" s="46"/>
      <c r="E125" s="46"/>
      <c r="F125" s="46"/>
      <c r="G125" s="46"/>
      <c r="H125" s="46"/>
      <c r="I125" s="46"/>
    </row>
    <row r="126">
      <c r="A126" s="49"/>
      <c r="B126" s="46"/>
      <c r="C126" s="46"/>
      <c r="D126" s="46"/>
      <c r="E126" s="46"/>
      <c r="F126" s="46"/>
      <c r="G126" s="46"/>
      <c r="H126" s="46"/>
      <c r="I126" s="46"/>
    </row>
    <row r="127">
      <c r="A127" s="49"/>
      <c r="B127" s="46"/>
      <c r="C127" s="46"/>
      <c r="D127" s="46"/>
      <c r="E127" s="46"/>
      <c r="F127" s="46"/>
      <c r="G127" s="46"/>
      <c r="H127" s="46"/>
      <c r="I127" s="46"/>
    </row>
    <row r="128">
      <c r="A128" s="49"/>
      <c r="B128" s="46"/>
      <c r="C128" s="46"/>
      <c r="D128" s="46"/>
      <c r="E128" s="46"/>
      <c r="F128" s="46"/>
      <c r="G128" s="46"/>
      <c r="H128" s="46"/>
      <c r="I128" s="46"/>
    </row>
    <row r="129">
      <c r="A129" s="49"/>
      <c r="B129" s="46"/>
      <c r="C129" s="46"/>
      <c r="D129" s="46"/>
      <c r="E129" s="46"/>
      <c r="F129" s="46"/>
      <c r="G129" s="46"/>
      <c r="H129" s="46"/>
      <c r="I129" s="46"/>
    </row>
    <row r="130">
      <c r="A130" s="49"/>
      <c r="B130" s="46"/>
      <c r="C130" s="46"/>
      <c r="D130" s="46"/>
      <c r="E130" s="46"/>
      <c r="F130" s="46"/>
      <c r="G130" s="46"/>
      <c r="H130" s="46"/>
      <c r="I130" s="46"/>
    </row>
    <row r="131">
      <c r="A131" s="49"/>
      <c r="B131" s="46"/>
      <c r="C131" s="46"/>
      <c r="D131" s="46"/>
      <c r="E131" s="46"/>
      <c r="F131" s="46"/>
      <c r="G131" s="46"/>
      <c r="H131" s="46"/>
      <c r="I131" s="46"/>
    </row>
    <row r="132">
      <c r="A132" s="49"/>
      <c r="B132" s="46"/>
      <c r="C132" s="46"/>
      <c r="D132" s="46"/>
      <c r="E132" s="46"/>
      <c r="F132" s="46"/>
      <c r="G132" s="46"/>
      <c r="H132" s="46"/>
      <c r="I132" s="46"/>
    </row>
    <row r="133">
      <c r="A133" s="49"/>
      <c r="B133" s="46"/>
      <c r="C133" s="46"/>
      <c r="D133" s="46"/>
      <c r="E133" s="46"/>
      <c r="F133" s="46"/>
      <c r="G133" s="46"/>
      <c r="H133" s="46"/>
      <c r="I133" s="46"/>
    </row>
    <row r="134">
      <c r="A134" s="49"/>
      <c r="B134" s="46"/>
      <c r="C134" s="46"/>
      <c r="D134" s="46"/>
      <c r="E134" s="46"/>
      <c r="F134" s="46"/>
      <c r="G134" s="46"/>
      <c r="H134" s="46"/>
      <c r="I134" s="46"/>
    </row>
    <row r="135">
      <c r="A135" s="49"/>
      <c r="B135" s="46"/>
      <c r="C135" s="46"/>
      <c r="D135" s="46"/>
      <c r="E135" s="46"/>
      <c r="F135" s="46"/>
      <c r="G135" s="46"/>
      <c r="H135" s="46"/>
      <c r="I135" s="46"/>
    </row>
    <row r="136">
      <c r="A136" s="49"/>
      <c r="B136" s="46"/>
      <c r="C136" s="46"/>
      <c r="D136" s="46"/>
      <c r="E136" s="46"/>
      <c r="F136" s="46"/>
      <c r="G136" s="46"/>
      <c r="H136" s="46"/>
      <c r="I136" s="46"/>
    </row>
    <row r="137">
      <c r="A137" s="49"/>
      <c r="B137" s="46"/>
      <c r="C137" s="46"/>
      <c r="D137" s="46"/>
      <c r="E137" s="46"/>
      <c r="F137" s="46"/>
      <c r="G137" s="46"/>
      <c r="H137" s="46"/>
      <c r="I137" s="46"/>
    </row>
    <row r="138">
      <c r="A138" s="49"/>
      <c r="B138" s="46"/>
      <c r="C138" s="46"/>
      <c r="D138" s="46"/>
      <c r="E138" s="46"/>
      <c r="F138" s="46"/>
      <c r="G138" s="46"/>
      <c r="H138" s="46"/>
      <c r="I138" s="46"/>
    </row>
    <row r="139">
      <c r="A139" s="49"/>
      <c r="B139" s="46"/>
      <c r="C139" s="46"/>
      <c r="D139" s="46"/>
      <c r="E139" s="46"/>
      <c r="F139" s="46"/>
      <c r="G139" s="46"/>
      <c r="H139" s="46"/>
      <c r="I139" s="46"/>
    </row>
    <row r="140">
      <c r="A140" s="49"/>
      <c r="B140" s="46"/>
      <c r="C140" s="46"/>
      <c r="D140" s="46"/>
      <c r="E140" s="46"/>
      <c r="F140" s="46"/>
      <c r="G140" s="46"/>
      <c r="H140" s="46"/>
      <c r="I140" s="46"/>
    </row>
    <row r="141">
      <c r="A141" s="49"/>
      <c r="B141" s="46"/>
      <c r="C141" s="46"/>
      <c r="D141" s="46"/>
      <c r="E141" s="46"/>
      <c r="F141" s="46"/>
      <c r="G141" s="46"/>
      <c r="H141" s="46"/>
      <c r="I141" s="46"/>
    </row>
    <row r="142">
      <c r="A142" s="49"/>
      <c r="B142" s="46"/>
      <c r="C142" s="46"/>
      <c r="D142" s="46"/>
      <c r="E142" s="46"/>
      <c r="F142" s="46"/>
      <c r="G142" s="46"/>
      <c r="H142" s="46"/>
      <c r="I142" s="46"/>
    </row>
    <row r="143">
      <c r="A143" s="49"/>
      <c r="B143" s="46"/>
      <c r="C143" s="46"/>
      <c r="D143" s="46"/>
      <c r="E143" s="46"/>
      <c r="F143" s="46"/>
      <c r="G143" s="46"/>
      <c r="H143" s="46"/>
      <c r="I143" s="46"/>
    </row>
    <row r="144">
      <c r="A144" s="49"/>
      <c r="B144" s="46"/>
      <c r="C144" s="46"/>
      <c r="D144" s="46"/>
      <c r="E144" s="46"/>
      <c r="F144" s="46"/>
      <c r="G144" s="46"/>
      <c r="H144" s="46"/>
      <c r="I144" s="46"/>
    </row>
    <row r="145">
      <c r="A145" s="49"/>
      <c r="B145" s="46"/>
      <c r="C145" s="46"/>
      <c r="D145" s="46"/>
      <c r="E145" s="46"/>
      <c r="F145" s="46"/>
      <c r="G145" s="46"/>
      <c r="H145" s="46"/>
      <c r="I145" s="46"/>
    </row>
    <row r="146">
      <c r="A146" s="49"/>
      <c r="B146" s="46"/>
      <c r="C146" s="46"/>
      <c r="D146" s="46"/>
      <c r="E146" s="46"/>
      <c r="F146" s="46"/>
      <c r="G146" s="46"/>
      <c r="H146" s="46"/>
      <c r="I146" s="46"/>
    </row>
    <row r="147">
      <c r="A147" s="49"/>
      <c r="B147" s="46"/>
      <c r="C147" s="46"/>
      <c r="D147" s="46"/>
      <c r="E147" s="46"/>
      <c r="F147" s="46"/>
      <c r="G147" s="46"/>
      <c r="H147" s="46"/>
      <c r="I147" s="46"/>
    </row>
    <row r="148">
      <c r="A148" s="49"/>
      <c r="B148" s="46"/>
      <c r="C148" s="46"/>
      <c r="D148" s="46"/>
      <c r="E148" s="46"/>
      <c r="F148" s="46"/>
      <c r="G148" s="46"/>
      <c r="H148" s="46"/>
      <c r="I148" s="46"/>
    </row>
    <row r="149">
      <c r="A149" s="49"/>
      <c r="B149" s="46"/>
      <c r="C149" s="46"/>
      <c r="D149" s="46"/>
      <c r="E149" s="46"/>
      <c r="F149" s="46"/>
      <c r="G149" s="46"/>
      <c r="H149" s="46"/>
      <c r="I149" s="46"/>
    </row>
    <row r="150">
      <c r="A150" s="49"/>
      <c r="B150" s="46"/>
      <c r="C150" s="46"/>
      <c r="D150" s="46"/>
      <c r="E150" s="46"/>
      <c r="F150" s="46"/>
      <c r="G150" s="46"/>
      <c r="H150" s="46"/>
      <c r="I150" s="46"/>
    </row>
    <row r="151">
      <c r="A151" s="49"/>
      <c r="B151" s="46"/>
      <c r="C151" s="46"/>
      <c r="D151" s="46"/>
      <c r="E151" s="46"/>
      <c r="F151" s="46"/>
      <c r="G151" s="46"/>
      <c r="H151" s="46"/>
      <c r="I151" s="46"/>
    </row>
    <row r="152">
      <c r="A152" s="49"/>
      <c r="B152" s="46"/>
      <c r="C152" s="46"/>
      <c r="D152" s="46"/>
      <c r="E152" s="46"/>
      <c r="F152" s="46"/>
      <c r="G152" s="46"/>
      <c r="H152" s="46"/>
      <c r="I152" s="46"/>
    </row>
    <row r="153">
      <c r="A153" s="49"/>
      <c r="B153" s="46"/>
      <c r="C153" s="46"/>
      <c r="D153" s="46"/>
      <c r="E153" s="46"/>
      <c r="F153" s="46"/>
      <c r="G153" s="46"/>
      <c r="H153" s="46"/>
      <c r="I153" s="46"/>
    </row>
    <row r="154">
      <c r="A154" s="49"/>
      <c r="B154" s="46"/>
      <c r="C154" s="46"/>
      <c r="D154" s="46"/>
      <c r="E154" s="46"/>
      <c r="F154" s="46"/>
      <c r="G154" s="46"/>
      <c r="H154" s="46"/>
      <c r="I154" s="46"/>
    </row>
    <row r="155">
      <c r="A155" s="49"/>
      <c r="B155" s="46"/>
      <c r="C155" s="46"/>
      <c r="D155" s="46"/>
      <c r="E155" s="46"/>
      <c r="F155" s="46"/>
      <c r="G155" s="46"/>
      <c r="H155" s="46"/>
      <c r="I155" s="46"/>
    </row>
    <row r="156">
      <c r="A156" s="49"/>
      <c r="B156" s="46"/>
      <c r="C156" s="46"/>
      <c r="D156" s="46"/>
      <c r="E156" s="46"/>
      <c r="F156" s="46"/>
      <c r="G156" s="46"/>
      <c r="H156" s="46"/>
      <c r="I156" s="46"/>
    </row>
    <row r="157">
      <c r="A157" s="49"/>
      <c r="B157" s="46"/>
      <c r="C157" s="46"/>
      <c r="D157" s="46"/>
      <c r="E157" s="46"/>
      <c r="F157" s="46"/>
      <c r="G157" s="46"/>
      <c r="H157" s="46"/>
      <c r="I157" s="46"/>
    </row>
    <row r="158">
      <c r="A158" s="49"/>
      <c r="B158" s="46"/>
      <c r="C158" s="46"/>
      <c r="D158" s="46"/>
      <c r="E158" s="46"/>
      <c r="F158" s="46"/>
      <c r="G158" s="46"/>
      <c r="H158" s="46"/>
      <c r="I158" s="46"/>
    </row>
    <row r="159">
      <c r="A159" s="49"/>
      <c r="B159" s="46"/>
      <c r="C159" s="46"/>
      <c r="D159" s="46"/>
      <c r="E159" s="46"/>
      <c r="F159" s="46"/>
      <c r="G159" s="46"/>
      <c r="H159" s="46"/>
      <c r="I159" s="46"/>
    </row>
    <row r="160">
      <c r="A160" s="49"/>
      <c r="B160" s="46"/>
      <c r="C160" s="46"/>
      <c r="D160" s="46"/>
      <c r="E160" s="46"/>
      <c r="F160" s="46"/>
      <c r="G160" s="46"/>
      <c r="H160" s="46"/>
      <c r="I160" s="46"/>
    </row>
    <row r="161">
      <c r="A161" s="49"/>
      <c r="B161" s="46"/>
      <c r="C161" s="46"/>
      <c r="D161" s="46"/>
      <c r="E161" s="46"/>
      <c r="F161" s="46"/>
      <c r="G161" s="46"/>
      <c r="H161" s="46"/>
      <c r="I161" s="46"/>
    </row>
    <row r="162">
      <c r="A162" s="49"/>
      <c r="B162" s="46"/>
      <c r="C162" s="46"/>
      <c r="D162" s="46"/>
      <c r="E162" s="46"/>
      <c r="F162" s="46"/>
      <c r="G162" s="46"/>
      <c r="H162" s="46"/>
      <c r="I162" s="46"/>
    </row>
    <row r="163">
      <c r="A163" s="49"/>
      <c r="B163" s="46"/>
      <c r="C163" s="46"/>
      <c r="D163" s="46"/>
      <c r="E163" s="46"/>
      <c r="F163" s="46"/>
      <c r="G163" s="46"/>
      <c r="H163" s="46"/>
      <c r="I163" s="46"/>
    </row>
    <row r="164">
      <c r="A164" s="49"/>
      <c r="B164" s="46"/>
      <c r="C164" s="46"/>
      <c r="D164" s="46"/>
      <c r="E164" s="46"/>
      <c r="F164" s="46"/>
      <c r="G164" s="46"/>
      <c r="H164" s="46"/>
      <c r="I164" s="46"/>
    </row>
    <row r="165">
      <c r="A165" s="49"/>
      <c r="B165" s="46"/>
      <c r="C165" s="46"/>
      <c r="D165" s="46"/>
      <c r="E165" s="46"/>
      <c r="F165" s="46"/>
      <c r="G165" s="46"/>
      <c r="H165" s="46"/>
      <c r="I165" s="46"/>
    </row>
    <row r="166">
      <c r="A166" s="49"/>
      <c r="B166" s="46"/>
      <c r="C166" s="46"/>
      <c r="D166" s="46"/>
      <c r="E166" s="46"/>
      <c r="F166" s="46"/>
      <c r="G166" s="46"/>
      <c r="H166" s="46"/>
      <c r="I166" s="46"/>
    </row>
    <row r="167">
      <c r="A167" s="49"/>
      <c r="B167" s="46"/>
      <c r="C167" s="46"/>
      <c r="D167" s="46"/>
      <c r="E167" s="46"/>
      <c r="F167" s="46"/>
      <c r="G167" s="46"/>
      <c r="H167" s="46"/>
      <c r="I167" s="46"/>
    </row>
    <row r="168">
      <c r="A168" s="49"/>
      <c r="B168" s="46"/>
      <c r="C168" s="46"/>
      <c r="D168" s="46"/>
      <c r="E168" s="46"/>
      <c r="F168" s="46"/>
      <c r="G168" s="46"/>
      <c r="H168" s="46"/>
      <c r="I168" s="46"/>
    </row>
    <row r="169">
      <c r="A169" s="49"/>
      <c r="B169" s="46"/>
      <c r="C169" s="46"/>
      <c r="D169" s="46"/>
      <c r="E169" s="46"/>
      <c r="F169" s="46"/>
      <c r="G169" s="46"/>
      <c r="H169" s="46"/>
      <c r="I169" s="46"/>
    </row>
    <row r="170">
      <c r="A170" s="49"/>
      <c r="B170" s="46"/>
      <c r="C170" s="46"/>
      <c r="D170" s="46"/>
      <c r="E170" s="46"/>
      <c r="F170" s="46"/>
      <c r="G170" s="46"/>
      <c r="H170" s="46"/>
      <c r="I170" s="46"/>
    </row>
    <row r="171">
      <c r="A171" s="49"/>
      <c r="B171" s="46"/>
      <c r="C171" s="46"/>
      <c r="D171" s="46"/>
      <c r="E171" s="46"/>
      <c r="F171" s="46"/>
      <c r="G171" s="46"/>
      <c r="H171" s="46"/>
      <c r="I171" s="46"/>
    </row>
    <row r="172">
      <c r="A172" s="49"/>
      <c r="B172" s="46"/>
      <c r="C172" s="46"/>
      <c r="D172" s="46"/>
      <c r="E172" s="46"/>
      <c r="F172" s="46"/>
      <c r="G172" s="46"/>
      <c r="H172" s="46"/>
      <c r="I172" s="46"/>
    </row>
    <row r="173">
      <c r="A173" s="49"/>
      <c r="B173" s="46"/>
      <c r="C173" s="46"/>
      <c r="D173" s="46"/>
      <c r="E173" s="46"/>
      <c r="F173" s="46"/>
      <c r="G173" s="46"/>
      <c r="H173" s="46"/>
      <c r="I173" s="46"/>
    </row>
    <row r="174">
      <c r="A174" s="49"/>
      <c r="B174" s="46"/>
      <c r="C174" s="46"/>
      <c r="D174" s="46"/>
      <c r="E174" s="46"/>
      <c r="F174" s="46"/>
      <c r="G174" s="46"/>
      <c r="H174" s="46"/>
      <c r="I174" s="46"/>
    </row>
    <row r="175">
      <c r="A175" s="49"/>
      <c r="B175" s="46"/>
      <c r="C175" s="46"/>
      <c r="D175" s="46"/>
      <c r="E175" s="46"/>
      <c r="F175" s="46"/>
      <c r="G175" s="46"/>
      <c r="H175" s="46"/>
      <c r="I175" s="46"/>
    </row>
    <row r="176">
      <c r="A176" s="49"/>
      <c r="B176" s="46"/>
      <c r="C176" s="46"/>
      <c r="D176" s="46"/>
      <c r="E176" s="46"/>
      <c r="F176" s="46"/>
      <c r="G176" s="46"/>
      <c r="H176" s="46"/>
      <c r="I176" s="46"/>
    </row>
    <row r="177">
      <c r="A177" s="49"/>
      <c r="B177" s="46"/>
      <c r="C177" s="46"/>
      <c r="D177" s="46"/>
      <c r="E177" s="46"/>
      <c r="F177" s="46"/>
      <c r="G177" s="46"/>
      <c r="H177" s="46"/>
      <c r="I177" s="46"/>
    </row>
    <row r="178">
      <c r="A178" s="49"/>
      <c r="B178" s="46"/>
      <c r="C178" s="46"/>
      <c r="D178" s="46"/>
      <c r="E178" s="46"/>
      <c r="F178" s="46"/>
      <c r="G178" s="46"/>
      <c r="H178" s="46"/>
      <c r="I178" s="46"/>
    </row>
    <row r="179">
      <c r="A179" s="49"/>
      <c r="B179" s="46"/>
      <c r="C179" s="46"/>
      <c r="D179" s="46"/>
      <c r="E179" s="46"/>
      <c r="F179" s="46"/>
      <c r="G179" s="46"/>
      <c r="H179" s="46"/>
      <c r="I179" s="46"/>
    </row>
    <row r="180">
      <c r="A180" s="49"/>
      <c r="B180" s="46"/>
      <c r="C180" s="46"/>
      <c r="D180" s="46"/>
      <c r="E180" s="46"/>
      <c r="F180" s="46"/>
      <c r="G180" s="46"/>
      <c r="H180" s="46"/>
      <c r="I180" s="46"/>
    </row>
    <row r="181">
      <c r="A181" s="49"/>
      <c r="B181" s="46"/>
      <c r="C181" s="46"/>
      <c r="D181" s="46"/>
      <c r="E181" s="46"/>
      <c r="F181" s="46"/>
      <c r="G181" s="46"/>
      <c r="H181" s="46"/>
      <c r="I181" s="46"/>
    </row>
    <row r="182">
      <c r="A182" s="49"/>
      <c r="B182" s="46"/>
      <c r="C182" s="46"/>
      <c r="D182" s="46"/>
      <c r="E182" s="46"/>
      <c r="F182" s="46"/>
      <c r="G182" s="46"/>
      <c r="H182" s="46"/>
      <c r="I182" s="46"/>
    </row>
    <row r="183">
      <c r="A183" s="49"/>
      <c r="B183" s="46"/>
      <c r="C183" s="46"/>
      <c r="D183" s="46"/>
      <c r="E183" s="46"/>
      <c r="F183" s="46"/>
      <c r="G183" s="46"/>
      <c r="H183" s="46"/>
      <c r="I183" s="46"/>
    </row>
    <row r="184">
      <c r="A184" s="49"/>
      <c r="B184" s="46"/>
      <c r="C184" s="46"/>
      <c r="D184" s="46"/>
      <c r="E184" s="46"/>
      <c r="F184" s="46"/>
      <c r="G184" s="46"/>
      <c r="H184" s="46"/>
      <c r="I184" s="46"/>
    </row>
    <row r="185">
      <c r="A185" s="49"/>
      <c r="B185" s="46"/>
      <c r="C185" s="46"/>
      <c r="D185" s="46"/>
      <c r="E185" s="46"/>
      <c r="F185" s="46"/>
      <c r="G185" s="46"/>
      <c r="H185" s="46"/>
      <c r="I185" s="46"/>
    </row>
    <row r="186">
      <c r="A186" s="49"/>
      <c r="B186" s="46"/>
      <c r="C186" s="46"/>
      <c r="D186" s="46"/>
      <c r="E186" s="46"/>
      <c r="F186" s="46"/>
      <c r="G186" s="46"/>
      <c r="H186" s="46"/>
      <c r="I186" s="46"/>
    </row>
    <row r="187">
      <c r="A187" s="49"/>
      <c r="B187" s="46"/>
      <c r="C187" s="46"/>
      <c r="D187" s="46"/>
      <c r="E187" s="46"/>
      <c r="F187" s="46"/>
      <c r="G187" s="46"/>
      <c r="H187" s="46"/>
      <c r="I187" s="46"/>
    </row>
    <row r="188">
      <c r="A188" s="49"/>
      <c r="B188" s="46"/>
      <c r="C188" s="46"/>
      <c r="D188" s="46"/>
      <c r="E188" s="46"/>
      <c r="F188" s="46"/>
      <c r="G188" s="46"/>
      <c r="H188" s="46"/>
      <c r="I188" s="46"/>
    </row>
    <row r="189">
      <c r="A189" s="49"/>
      <c r="B189" s="46"/>
      <c r="C189" s="46"/>
      <c r="D189" s="46"/>
      <c r="E189" s="46"/>
      <c r="F189" s="46"/>
      <c r="G189" s="46"/>
      <c r="H189" s="46"/>
      <c r="I189" s="46"/>
    </row>
    <row r="190">
      <c r="A190" s="49"/>
      <c r="B190" s="46"/>
      <c r="C190" s="46"/>
      <c r="D190" s="46"/>
      <c r="E190" s="46"/>
      <c r="F190" s="46"/>
      <c r="G190" s="46"/>
      <c r="H190" s="46"/>
      <c r="I190" s="46"/>
    </row>
    <row r="191">
      <c r="A191" s="49"/>
      <c r="B191" s="46"/>
      <c r="C191" s="46"/>
      <c r="D191" s="46"/>
      <c r="E191" s="46"/>
      <c r="F191" s="46"/>
      <c r="G191" s="46"/>
      <c r="H191" s="46"/>
      <c r="I191" s="46"/>
    </row>
    <row r="192">
      <c r="A192" s="49"/>
      <c r="B192" s="46"/>
      <c r="C192" s="46"/>
      <c r="D192" s="46"/>
      <c r="E192" s="46"/>
      <c r="F192" s="46"/>
      <c r="G192" s="46"/>
      <c r="H192" s="46"/>
      <c r="I192" s="46"/>
    </row>
    <row r="193">
      <c r="A193" s="49"/>
      <c r="B193" s="46"/>
      <c r="C193" s="46"/>
      <c r="D193" s="46"/>
      <c r="E193" s="46"/>
      <c r="F193" s="46"/>
      <c r="G193" s="46"/>
      <c r="H193" s="46"/>
      <c r="I193" s="46"/>
    </row>
    <row r="194">
      <c r="A194" s="49"/>
      <c r="B194" s="46"/>
      <c r="C194" s="46"/>
      <c r="D194" s="46"/>
      <c r="E194" s="46"/>
      <c r="F194" s="46"/>
      <c r="G194" s="46"/>
      <c r="H194" s="46"/>
      <c r="I194" s="46"/>
    </row>
    <row r="195">
      <c r="A195" s="49"/>
      <c r="B195" s="46"/>
      <c r="C195" s="46"/>
      <c r="D195" s="46"/>
      <c r="E195" s="46"/>
      <c r="F195" s="46"/>
      <c r="G195" s="46"/>
      <c r="H195" s="46"/>
      <c r="I195" s="46"/>
    </row>
    <row r="196">
      <c r="A196" s="49"/>
      <c r="B196" s="46"/>
      <c r="C196" s="46"/>
      <c r="D196" s="46"/>
      <c r="E196" s="46"/>
      <c r="F196" s="46"/>
      <c r="G196" s="46"/>
      <c r="H196" s="46"/>
      <c r="I196" s="46"/>
    </row>
    <row r="197">
      <c r="A197" s="49"/>
      <c r="B197" s="46"/>
      <c r="C197" s="46"/>
      <c r="D197" s="46"/>
      <c r="E197" s="46"/>
      <c r="F197" s="46"/>
      <c r="G197" s="46"/>
      <c r="H197" s="46"/>
      <c r="I197" s="46"/>
    </row>
    <row r="198">
      <c r="A198" s="49"/>
      <c r="B198" s="46"/>
      <c r="C198" s="46"/>
      <c r="D198" s="46"/>
      <c r="E198" s="46"/>
      <c r="F198" s="46"/>
      <c r="G198" s="46"/>
      <c r="H198" s="46"/>
      <c r="I198" s="46"/>
    </row>
    <row r="199">
      <c r="A199" s="49"/>
      <c r="B199" s="46"/>
      <c r="C199" s="46"/>
      <c r="D199" s="46"/>
      <c r="E199" s="46"/>
      <c r="F199" s="46"/>
      <c r="G199" s="46"/>
      <c r="H199" s="46"/>
      <c r="I199" s="46"/>
    </row>
    <row r="200">
      <c r="A200" s="49"/>
      <c r="B200" s="46"/>
      <c r="C200" s="46"/>
      <c r="D200" s="46"/>
      <c r="E200" s="46"/>
      <c r="F200" s="46"/>
      <c r="G200" s="46"/>
      <c r="H200" s="46"/>
      <c r="I200" s="46"/>
    </row>
    <row r="201">
      <c r="A201" s="49"/>
      <c r="B201" s="46"/>
      <c r="C201" s="46"/>
      <c r="D201" s="46"/>
      <c r="E201" s="46"/>
      <c r="F201" s="46"/>
      <c r="G201" s="46"/>
      <c r="H201" s="46"/>
      <c r="I201" s="46"/>
    </row>
    <row r="202">
      <c r="A202" s="49"/>
      <c r="B202" s="46"/>
      <c r="C202" s="46"/>
      <c r="D202" s="46"/>
      <c r="E202" s="46"/>
      <c r="F202" s="46"/>
      <c r="G202" s="46"/>
      <c r="H202" s="46"/>
      <c r="I202" s="46"/>
    </row>
    <row r="203">
      <c r="A203" s="49"/>
      <c r="B203" s="46"/>
      <c r="C203" s="46"/>
      <c r="D203" s="46"/>
      <c r="E203" s="46"/>
      <c r="F203" s="46"/>
      <c r="G203" s="46"/>
      <c r="H203" s="46"/>
      <c r="I203" s="46"/>
    </row>
    <row r="204">
      <c r="A204" s="49"/>
      <c r="B204" s="46"/>
      <c r="C204" s="46"/>
      <c r="D204" s="46"/>
      <c r="E204" s="46"/>
      <c r="F204" s="46"/>
      <c r="G204" s="46"/>
      <c r="H204" s="46"/>
      <c r="I204" s="46"/>
    </row>
    <row r="205">
      <c r="A205" s="49"/>
      <c r="B205" s="46"/>
      <c r="C205" s="46"/>
      <c r="D205" s="46"/>
      <c r="E205" s="46"/>
      <c r="F205" s="46"/>
      <c r="G205" s="46"/>
      <c r="H205" s="46"/>
      <c r="I205" s="46"/>
    </row>
    <row r="206">
      <c r="A206" s="49"/>
      <c r="B206" s="46"/>
      <c r="C206" s="46"/>
      <c r="D206" s="46"/>
      <c r="E206" s="46"/>
      <c r="F206" s="46"/>
      <c r="G206" s="46"/>
      <c r="H206" s="46"/>
      <c r="I206" s="46"/>
    </row>
    <row r="207">
      <c r="A207" s="49"/>
      <c r="B207" s="46"/>
      <c r="C207" s="46"/>
      <c r="D207" s="46"/>
      <c r="E207" s="46"/>
      <c r="F207" s="46"/>
      <c r="G207" s="46"/>
      <c r="H207" s="46"/>
      <c r="I207" s="46"/>
    </row>
    <row r="208">
      <c r="A208" s="49"/>
      <c r="B208" s="46"/>
      <c r="C208" s="46"/>
      <c r="D208" s="46"/>
      <c r="E208" s="46"/>
      <c r="F208" s="46"/>
      <c r="G208" s="46"/>
      <c r="H208" s="46"/>
      <c r="I208" s="46"/>
    </row>
    <row r="209">
      <c r="A209" s="49"/>
      <c r="B209" s="46"/>
      <c r="C209" s="46"/>
      <c r="D209" s="46"/>
      <c r="E209" s="46"/>
      <c r="F209" s="46"/>
      <c r="G209" s="46"/>
      <c r="H209" s="46"/>
      <c r="I209" s="46"/>
    </row>
    <row r="210">
      <c r="A210" s="49"/>
      <c r="B210" s="46"/>
      <c r="C210" s="46"/>
      <c r="D210" s="46"/>
      <c r="E210" s="46"/>
      <c r="F210" s="46"/>
      <c r="G210" s="46"/>
      <c r="H210" s="46"/>
      <c r="I210" s="46"/>
    </row>
    <row r="211">
      <c r="A211" s="49"/>
      <c r="B211" s="46"/>
      <c r="C211" s="46"/>
      <c r="D211" s="46"/>
      <c r="E211" s="46"/>
      <c r="F211" s="46"/>
      <c r="G211" s="46"/>
      <c r="H211" s="46"/>
      <c r="I211" s="46"/>
    </row>
    <row r="212">
      <c r="A212" s="49"/>
      <c r="B212" s="46"/>
      <c r="C212" s="46"/>
      <c r="D212" s="46"/>
      <c r="E212" s="46"/>
      <c r="F212" s="46"/>
      <c r="G212" s="46"/>
      <c r="H212" s="46"/>
      <c r="I212" s="46"/>
    </row>
    <row r="213">
      <c r="A213" s="49"/>
      <c r="B213" s="46"/>
      <c r="C213" s="46"/>
      <c r="D213" s="46"/>
      <c r="E213" s="46"/>
      <c r="F213" s="46"/>
      <c r="G213" s="46"/>
      <c r="H213" s="46"/>
      <c r="I213" s="46"/>
    </row>
    <row r="214">
      <c r="A214" s="49"/>
      <c r="B214" s="46"/>
      <c r="C214" s="46"/>
      <c r="D214" s="46"/>
      <c r="E214" s="46"/>
      <c r="F214" s="46"/>
      <c r="G214" s="46"/>
      <c r="H214" s="46"/>
      <c r="I214" s="46"/>
    </row>
    <row r="215">
      <c r="A215" s="49"/>
      <c r="B215" s="46"/>
      <c r="C215" s="46"/>
      <c r="D215" s="46"/>
      <c r="E215" s="46"/>
      <c r="F215" s="46"/>
      <c r="G215" s="46"/>
      <c r="H215" s="46"/>
      <c r="I215" s="46"/>
    </row>
    <row r="216">
      <c r="A216" s="49"/>
      <c r="B216" s="46"/>
      <c r="C216" s="46"/>
      <c r="D216" s="46"/>
      <c r="E216" s="46"/>
      <c r="F216" s="46"/>
      <c r="G216" s="46"/>
      <c r="H216" s="46"/>
      <c r="I216" s="46"/>
    </row>
    <row r="217">
      <c r="A217" s="49"/>
      <c r="B217" s="46"/>
      <c r="C217" s="46"/>
      <c r="D217" s="46"/>
      <c r="E217" s="46"/>
      <c r="F217" s="46"/>
      <c r="G217" s="46"/>
      <c r="H217" s="46"/>
      <c r="I217" s="46"/>
    </row>
    <row r="218">
      <c r="A218" s="49"/>
      <c r="B218" s="46"/>
      <c r="C218" s="46"/>
      <c r="D218" s="46"/>
      <c r="E218" s="46"/>
      <c r="F218" s="46"/>
      <c r="G218" s="46"/>
      <c r="H218" s="46"/>
      <c r="I218" s="46"/>
    </row>
    <row r="219">
      <c r="A219" s="49"/>
      <c r="B219" s="46"/>
      <c r="C219" s="46"/>
      <c r="D219" s="46"/>
      <c r="E219" s="46"/>
      <c r="F219" s="46"/>
      <c r="G219" s="46"/>
      <c r="H219" s="46"/>
      <c r="I219" s="46"/>
    </row>
    <row r="220">
      <c r="A220" s="49"/>
      <c r="B220" s="46"/>
      <c r="C220" s="46"/>
      <c r="D220" s="46"/>
      <c r="E220" s="46"/>
      <c r="F220" s="46"/>
      <c r="G220" s="46"/>
      <c r="H220" s="46"/>
      <c r="I220" s="46"/>
    </row>
    <row r="221">
      <c r="A221" s="49"/>
      <c r="B221" s="46"/>
      <c r="C221" s="46"/>
      <c r="D221" s="46"/>
      <c r="E221" s="46"/>
      <c r="F221" s="46"/>
      <c r="G221" s="46"/>
      <c r="H221" s="46"/>
      <c r="I221" s="46"/>
    </row>
    <row r="222">
      <c r="A222" s="49"/>
      <c r="B222" s="46"/>
      <c r="C222" s="46"/>
      <c r="D222" s="46"/>
      <c r="E222" s="46"/>
      <c r="F222" s="46"/>
      <c r="G222" s="46"/>
      <c r="H222" s="46"/>
      <c r="I222" s="46"/>
    </row>
    <row r="223">
      <c r="A223" s="49"/>
      <c r="B223" s="46"/>
      <c r="C223" s="46"/>
      <c r="D223" s="46"/>
      <c r="E223" s="46"/>
      <c r="F223" s="46"/>
      <c r="G223" s="46"/>
      <c r="H223" s="46"/>
      <c r="I223" s="46"/>
    </row>
    <row r="224">
      <c r="A224" s="49"/>
      <c r="B224" s="46"/>
      <c r="C224" s="46"/>
      <c r="D224" s="46"/>
      <c r="E224" s="46"/>
      <c r="F224" s="46"/>
      <c r="G224" s="46"/>
      <c r="H224" s="46"/>
      <c r="I224" s="46"/>
    </row>
    <row r="225">
      <c r="A225" s="49"/>
      <c r="B225" s="46"/>
      <c r="C225" s="46"/>
      <c r="D225" s="46"/>
      <c r="E225" s="46"/>
      <c r="F225" s="46"/>
      <c r="G225" s="46"/>
      <c r="H225" s="46"/>
      <c r="I225" s="46"/>
    </row>
    <row r="226">
      <c r="A226" s="49"/>
      <c r="B226" s="46"/>
      <c r="C226" s="46"/>
      <c r="D226" s="46"/>
      <c r="E226" s="46"/>
      <c r="F226" s="46"/>
      <c r="G226" s="46"/>
      <c r="H226" s="46"/>
      <c r="I226" s="46"/>
    </row>
    <row r="227">
      <c r="A227" s="49"/>
      <c r="B227" s="46"/>
      <c r="C227" s="46"/>
      <c r="D227" s="46"/>
      <c r="E227" s="46"/>
      <c r="F227" s="46"/>
      <c r="G227" s="46"/>
      <c r="H227" s="46"/>
      <c r="I227" s="46"/>
    </row>
    <row r="228">
      <c r="A228" s="49"/>
      <c r="B228" s="46"/>
      <c r="C228" s="46"/>
      <c r="D228" s="46"/>
      <c r="E228" s="46"/>
      <c r="F228" s="46"/>
      <c r="G228" s="46"/>
      <c r="H228" s="46"/>
      <c r="I228" s="46"/>
    </row>
    <row r="229">
      <c r="A229" s="49"/>
      <c r="B229" s="46"/>
      <c r="C229" s="46"/>
      <c r="D229" s="46"/>
      <c r="E229" s="46"/>
      <c r="F229" s="46"/>
      <c r="G229" s="46"/>
      <c r="H229" s="46"/>
      <c r="I229" s="46"/>
    </row>
    <row r="230">
      <c r="A230" s="49"/>
      <c r="B230" s="46"/>
      <c r="C230" s="46"/>
      <c r="D230" s="46"/>
      <c r="E230" s="46"/>
      <c r="F230" s="46"/>
      <c r="G230" s="46"/>
      <c r="H230" s="46"/>
      <c r="I230" s="46"/>
    </row>
    <row r="231">
      <c r="A231" s="49"/>
      <c r="B231" s="46"/>
      <c r="C231" s="46"/>
      <c r="D231" s="46"/>
      <c r="E231" s="46"/>
      <c r="F231" s="46"/>
      <c r="G231" s="46"/>
      <c r="H231" s="46"/>
      <c r="I231" s="46"/>
    </row>
    <row r="232">
      <c r="A232" s="49"/>
      <c r="B232" s="46"/>
      <c r="C232" s="46"/>
      <c r="D232" s="46"/>
      <c r="E232" s="46"/>
      <c r="F232" s="46"/>
      <c r="G232" s="46"/>
      <c r="H232" s="46"/>
      <c r="I232" s="46"/>
    </row>
    <row r="233">
      <c r="A233" s="49"/>
      <c r="B233" s="46"/>
      <c r="C233" s="46"/>
      <c r="D233" s="46"/>
      <c r="E233" s="46"/>
      <c r="F233" s="46"/>
      <c r="G233" s="46"/>
      <c r="H233" s="46"/>
      <c r="I233" s="46"/>
    </row>
    <row r="234">
      <c r="A234" s="49"/>
      <c r="B234" s="46"/>
      <c r="C234" s="46"/>
      <c r="D234" s="46"/>
      <c r="E234" s="46"/>
      <c r="F234" s="46"/>
      <c r="G234" s="46"/>
      <c r="H234" s="46"/>
      <c r="I234" s="46"/>
    </row>
    <row r="235">
      <c r="A235" s="49"/>
      <c r="B235" s="46"/>
      <c r="C235" s="46"/>
      <c r="D235" s="46"/>
      <c r="E235" s="46"/>
      <c r="F235" s="46"/>
      <c r="G235" s="46"/>
      <c r="H235" s="46"/>
      <c r="I235" s="46"/>
    </row>
    <row r="236">
      <c r="A236" s="49"/>
      <c r="B236" s="46"/>
      <c r="C236" s="46"/>
      <c r="D236" s="46"/>
      <c r="E236" s="46"/>
      <c r="F236" s="46"/>
      <c r="G236" s="46"/>
      <c r="H236" s="46"/>
      <c r="I236" s="46"/>
    </row>
    <row r="237">
      <c r="A237" s="49"/>
      <c r="B237" s="46"/>
      <c r="C237" s="46"/>
      <c r="D237" s="46"/>
      <c r="E237" s="46"/>
      <c r="F237" s="46"/>
      <c r="G237" s="46"/>
      <c r="H237" s="46"/>
      <c r="I237" s="46"/>
    </row>
    <row r="238">
      <c r="A238" s="49"/>
      <c r="B238" s="46"/>
      <c r="C238" s="46"/>
      <c r="D238" s="46"/>
      <c r="E238" s="46"/>
      <c r="F238" s="46"/>
      <c r="G238" s="46"/>
      <c r="H238" s="46"/>
      <c r="I238" s="46"/>
    </row>
    <row r="239">
      <c r="A239" s="49"/>
      <c r="B239" s="46"/>
      <c r="C239" s="46"/>
      <c r="D239" s="46"/>
      <c r="E239" s="46"/>
      <c r="F239" s="46"/>
      <c r="G239" s="46"/>
      <c r="H239" s="46"/>
      <c r="I239" s="46"/>
    </row>
    <row r="240">
      <c r="A240" s="49"/>
      <c r="B240" s="46"/>
      <c r="C240" s="46"/>
      <c r="D240" s="46"/>
      <c r="E240" s="46"/>
      <c r="F240" s="46"/>
      <c r="G240" s="46"/>
      <c r="H240" s="46"/>
      <c r="I240" s="46"/>
    </row>
    <row r="241">
      <c r="A241" s="49"/>
      <c r="B241" s="46"/>
      <c r="C241" s="46"/>
      <c r="D241" s="46"/>
      <c r="E241" s="46"/>
      <c r="F241" s="46"/>
      <c r="G241" s="46"/>
      <c r="H241" s="46"/>
      <c r="I241" s="46"/>
    </row>
    <row r="242">
      <c r="A242" s="49"/>
      <c r="B242" s="46"/>
      <c r="C242" s="46"/>
      <c r="D242" s="46"/>
      <c r="E242" s="46"/>
      <c r="F242" s="46"/>
      <c r="G242" s="46"/>
      <c r="H242" s="46"/>
      <c r="I242" s="46"/>
    </row>
    <row r="243">
      <c r="A243" s="49"/>
      <c r="B243" s="46"/>
      <c r="C243" s="46"/>
      <c r="D243" s="46"/>
      <c r="E243" s="46"/>
      <c r="F243" s="46"/>
      <c r="G243" s="46"/>
      <c r="H243" s="46"/>
      <c r="I243" s="46"/>
    </row>
    <row r="244">
      <c r="A244" s="49"/>
      <c r="B244" s="46"/>
      <c r="C244" s="46"/>
      <c r="D244" s="46"/>
      <c r="E244" s="46"/>
      <c r="F244" s="46"/>
      <c r="G244" s="46"/>
      <c r="H244" s="46"/>
      <c r="I244" s="46"/>
    </row>
    <row r="245">
      <c r="A245" s="49"/>
      <c r="B245" s="46"/>
      <c r="C245" s="46"/>
      <c r="D245" s="46"/>
      <c r="E245" s="46"/>
      <c r="F245" s="46"/>
      <c r="G245" s="46"/>
      <c r="H245" s="46"/>
      <c r="I245" s="46"/>
    </row>
    <row r="246">
      <c r="A246" s="49"/>
      <c r="B246" s="46"/>
      <c r="C246" s="46"/>
      <c r="D246" s="46"/>
      <c r="E246" s="46"/>
      <c r="F246" s="46"/>
      <c r="G246" s="46"/>
      <c r="H246" s="46"/>
      <c r="I246" s="46"/>
    </row>
    <row r="247">
      <c r="A247" s="49"/>
      <c r="B247" s="46"/>
      <c r="C247" s="46"/>
      <c r="D247" s="46"/>
      <c r="E247" s="46"/>
      <c r="F247" s="46"/>
      <c r="G247" s="46"/>
      <c r="H247" s="46"/>
      <c r="I247" s="46"/>
    </row>
    <row r="248">
      <c r="A248" s="49"/>
      <c r="B248" s="46"/>
      <c r="C248" s="46"/>
      <c r="D248" s="46"/>
      <c r="E248" s="46"/>
      <c r="F248" s="46"/>
      <c r="G248" s="46"/>
      <c r="H248" s="46"/>
      <c r="I248" s="46"/>
    </row>
    <row r="249">
      <c r="A249" s="49"/>
      <c r="B249" s="46"/>
      <c r="C249" s="46"/>
      <c r="D249" s="46"/>
      <c r="E249" s="46"/>
      <c r="F249" s="46"/>
      <c r="G249" s="46"/>
      <c r="H249" s="46"/>
      <c r="I249" s="46"/>
    </row>
    <row r="250">
      <c r="A250" s="49"/>
      <c r="B250" s="46"/>
      <c r="C250" s="46"/>
      <c r="D250" s="46"/>
      <c r="E250" s="46"/>
      <c r="F250" s="46"/>
      <c r="G250" s="46"/>
      <c r="H250" s="46"/>
      <c r="I250" s="46"/>
    </row>
    <row r="251">
      <c r="A251" s="49"/>
      <c r="B251" s="46"/>
      <c r="C251" s="46"/>
      <c r="D251" s="46"/>
      <c r="E251" s="46"/>
      <c r="F251" s="46"/>
      <c r="G251" s="46"/>
      <c r="H251" s="46"/>
      <c r="I251" s="46"/>
    </row>
    <row r="252">
      <c r="A252" s="49"/>
      <c r="B252" s="46"/>
      <c r="C252" s="46"/>
      <c r="D252" s="46"/>
      <c r="E252" s="46"/>
      <c r="F252" s="46"/>
      <c r="G252" s="46"/>
      <c r="H252" s="46"/>
      <c r="I252" s="46"/>
    </row>
    <row r="253">
      <c r="A253" s="49"/>
      <c r="B253" s="46"/>
      <c r="C253" s="46"/>
      <c r="D253" s="46"/>
      <c r="E253" s="46"/>
      <c r="F253" s="46"/>
      <c r="G253" s="46"/>
      <c r="H253" s="46"/>
      <c r="I253" s="46"/>
    </row>
    <row r="254">
      <c r="A254" s="49"/>
      <c r="B254" s="46"/>
      <c r="C254" s="46"/>
      <c r="D254" s="46"/>
      <c r="E254" s="46"/>
      <c r="F254" s="46"/>
      <c r="G254" s="46"/>
      <c r="H254" s="46"/>
      <c r="I254" s="46"/>
    </row>
    <row r="255">
      <c r="A255" s="49"/>
      <c r="B255" s="46"/>
      <c r="C255" s="46"/>
      <c r="D255" s="46"/>
      <c r="E255" s="46"/>
      <c r="F255" s="46"/>
      <c r="G255" s="46"/>
      <c r="H255" s="46"/>
      <c r="I255" s="46"/>
    </row>
    <row r="256">
      <c r="A256" s="49"/>
      <c r="B256" s="46"/>
      <c r="C256" s="46"/>
      <c r="D256" s="46"/>
      <c r="E256" s="46"/>
      <c r="F256" s="46"/>
      <c r="G256" s="46"/>
      <c r="H256" s="46"/>
      <c r="I256" s="46"/>
    </row>
    <row r="257">
      <c r="A257" s="49"/>
      <c r="B257" s="46"/>
      <c r="C257" s="46"/>
      <c r="D257" s="46"/>
      <c r="E257" s="46"/>
      <c r="F257" s="46"/>
      <c r="G257" s="46"/>
      <c r="H257" s="46"/>
      <c r="I257" s="46"/>
    </row>
    <row r="258">
      <c r="A258" s="49"/>
      <c r="B258" s="46"/>
      <c r="C258" s="46"/>
      <c r="D258" s="46"/>
      <c r="E258" s="46"/>
      <c r="F258" s="46"/>
      <c r="G258" s="46"/>
      <c r="H258" s="46"/>
      <c r="I258" s="46"/>
    </row>
    <row r="259">
      <c r="A259" s="49"/>
      <c r="B259" s="46"/>
      <c r="C259" s="46"/>
      <c r="D259" s="46"/>
      <c r="E259" s="46"/>
      <c r="F259" s="46"/>
      <c r="G259" s="46"/>
      <c r="H259" s="46"/>
      <c r="I259" s="46"/>
    </row>
    <row r="260">
      <c r="A260" s="49"/>
      <c r="B260" s="46"/>
      <c r="C260" s="46"/>
      <c r="D260" s="46"/>
      <c r="E260" s="46"/>
      <c r="F260" s="46"/>
      <c r="G260" s="46"/>
      <c r="H260" s="46"/>
      <c r="I260" s="46"/>
    </row>
    <row r="261">
      <c r="A261" s="49"/>
      <c r="B261" s="46"/>
      <c r="C261" s="46"/>
      <c r="D261" s="46"/>
      <c r="E261" s="46"/>
      <c r="F261" s="46"/>
      <c r="G261" s="46"/>
      <c r="H261" s="46"/>
      <c r="I261" s="46"/>
    </row>
    <row r="262">
      <c r="A262" s="49"/>
      <c r="B262" s="46"/>
      <c r="C262" s="46"/>
      <c r="D262" s="46"/>
      <c r="E262" s="46"/>
      <c r="F262" s="46"/>
      <c r="G262" s="46"/>
      <c r="H262" s="46"/>
      <c r="I262" s="46"/>
    </row>
    <row r="263">
      <c r="A263" s="49"/>
      <c r="B263" s="46"/>
      <c r="C263" s="46"/>
      <c r="D263" s="46"/>
      <c r="E263" s="46"/>
      <c r="F263" s="46"/>
      <c r="G263" s="46"/>
      <c r="H263" s="46"/>
      <c r="I263" s="46"/>
    </row>
    <row r="264">
      <c r="A264" s="49"/>
      <c r="B264" s="46"/>
      <c r="C264" s="46"/>
      <c r="D264" s="46"/>
      <c r="E264" s="46"/>
      <c r="F264" s="46"/>
      <c r="G264" s="46"/>
      <c r="H264" s="46"/>
      <c r="I264" s="46"/>
    </row>
    <row r="265">
      <c r="A265" s="49"/>
      <c r="B265" s="46"/>
      <c r="C265" s="46"/>
      <c r="D265" s="46"/>
      <c r="E265" s="46"/>
      <c r="F265" s="46"/>
      <c r="G265" s="46"/>
      <c r="H265" s="46"/>
      <c r="I265" s="46"/>
    </row>
    <row r="266">
      <c r="A266" s="49"/>
      <c r="B266" s="46"/>
      <c r="C266" s="46"/>
      <c r="D266" s="46"/>
      <c r="E266" s="46"/>
      <c r="F266" s="46"/>
      <c r="G266" s="46"/>
      <c r="H266" s="46"/>
      <c r="I266" s="46"/>
    </row>
    <row r="267">
      <c r="A267" s="49"/>
      <c r="B267" s="46"/>
      <c r="C267" s="46"/>
      <c r="D267" s="46"/>
      <c r="E267" s="46"/>
      <c r="F267" s="46"/>
      <c r="G267" s="46"/>
      <c r="H267" s="46"/>
      <c r="I267" s="46"/>
    </row>
    <row r="268">
      <c r="A268" s="49"/>
      <c r="B268" s="46"/>
      <c r="C268" s="46"/>
      <c r="D268" s="46"/>
      <c r="E268" s="46"/>
      <c r="F268" s="46"/>
      <c r="G268" s="46"/>
      <c r="H268" s="46"/>
      <c r="I268" s="46"/>
    </row>
    <row r="269">
      <c r="A269" s="49"/>
      <c r="B269" s="46"/>
      <c r="C269" s="46"/>
      <c r="D269" s="46"/>
      <c r="E269" s="46"/>
      <c r="F269" s="46"/>
      <c r="G269" s="46"/>
      <c r="H269" s="46"/>
      <c r="I269" s="46"/>
    </row>
    <row r="270">
      <c r="A270" s="49"/>
      <c r="B270" s="46"/>
      <c r="C270" s="46"/>
      <c r="D270" s="46"/>
      <c r="E270" s="46"/>
      <c r="F270" s="46"/>
      <c r="G270" s="46"/>
      <c r="H270" s="46"/>
      <c r="I270" s="46"/>
    </row>
    <row r="271">
      <c r="A271" s="49"/>
      <c r="B271" s="46"/>
      <c r="C271" s="46"/>
      <c r="D271" s="46"/>
      <c r="E271" s="46"/>
      <c r="F271" s="46"/>
      <c r="G271" s="46"/>
      <c r="H271" s="46"/>
      <c r="I271" s="46"/>
    </row>
    <row r="272">
      <c r="A272" s="49"/>
      <c r="B272" s="46"/>
      <c r="C272" s="46"/>
      <c r="D272" s="46"/>
      <c r="E272" s="46"/>
      <c r="F272" s="46"/>
      <c r="G272" s="46"/>
      <c r="H272" s="46"/>
      <c r="I272" s="46"/>
    </row>
    <row r="273">
      <c r="A273" s="49"/>
      <c r="B273" s="46"/>
      <c r="C273" s="46"/>
      <c r="D273" s="46"/>
      <c r="E273" s="46"/>
      <c r="F273" s="46"/>
      <c r="G273" s="46"/>
      <c r="H273" s="46"/>
      <c r="I273" s="46"/>
    </row>
    <row r="274">
      <c r="A274" s="49"/>
      <c r="B274" s="46"/>
      <c r="C274" s="46"/>
      <c r="D274" s="46"/>
      <c r="E274" s="46"/>
      <c r="F274" s="46"/>
      <c r="G274" s="46"/>
      <c r="H274" s="46"/>
      <c r="I274" s="46"/>
    </row>
    <row r="275">
      <c r="A275" s="49"/>
      <c r="B275" s="46"/>
      <c r="C275" s="46"/>
      <c r="D275" s="46"/>
      <c r="E275" s="46"/>
      <c r="F275" s="46"/>
      <c r="G275" s="46"/>
      <c r="H275" s="46"/>
      <c r="I275" s="46"/>
    </row>
    <row r="276">
      <c r="A276" s="49"/>
      <c r="B276" s="46"/>
      <c r="C276" s="46"/>
      <c r="D276" s="46"/>
      <c r="E276" s="46"/>
      <c r="F276" s="46"/>
      <c r="G276" s="46"/>
      <c r="H276" s="46"/>
      <c r="I276" s="46"/>
    </row>
    <row r="277">
      <c r="A277" s="49"/>
      <c r="B277" s="46"/>
      <c r="C277" s="46"/>
      <c r="D277" s="46"/>
      <c r="E277" s="46"/>
      <c r="F277" s="46"/>
      <c r="G277" s="46"/>
      <c r="H277" s="46"/>
      <c r="I277" s="46"/>
    </row>
    <row r="278">
      <c r="A278" s="49"/>
      <c r="B278" s="46"/>
      <c r="C278" s="46"/>
      <c r="D278" s="46"/>
      <c r="E278" s="46"/>
      <c r="F278" s="46"/>
      <c r="G278" s="46"/>
      <c r="H278" s="46"/>
      <c r="I278" s="46"/>
    </row>
    <row r="279">
      <c r="A279" s="49"/>
      <c r="B279" s="46"/>
      <c r="C279" s="46"/>
      <c r="D279" s="46"/>
      <c r="E279" s="46"/>
      <c r="F279" s="46"/>
      <c r="G279" s="46"/>
      <c r="H279" s="46"/>
      <c r="I279" s="46"/>
    </row>
    <row r="280">
      <c r="A280" s="49"/>
      <c r="B280" s="46"/>
      <c r="C280" s="46"/>
      <c r="D280" s="46"/>
      <c r="E280" s="46"/>
      <c r="F280" s="46"/>
      <c r="G280" s="46"/>
      <c r="H280" s="46"/>
      <c r="I280" s="46"/>
    </row>
    <row r="281">
      <c r="A281" s="49"/>
      <c r="B281" s="46"/>
      <c r="C281" s="46"/>
      <c r="D281" s="46"/>
      <c r="E281" s="46"/>
      <c r="F281" s="46"/>
      <c r="G281" s="46"/>
      <c r="H281" s="46"/>
      <c r="I281" s="46"/>
    </row>
    <row r="282">
      <c r="A282" s="49"/>
      <c r="B282" s="46"/>
      <c r="C282" s="46"/>
      <c r="D282" s="46"/>
      <c r="E282" s="46"/>
      <c r="F282" s="46"/>
      <c r="G282" s="46"/>
      <c r="H282" s="46"/>
      <c r="I282" s="46"/>
    </row>
    <row r="283">
      <c r="A283" s="49"/>
      <c r="B283" s="46"/>
      <c r="C283" s="46"/>
      <c r="D283" s="46"/>
      <c r="E283" s="46"/>
      <c r="F283" s="46"/>
      <c r="G283" s="46"/>
      <c r="H283" s="46"/>
      <c r="I283" s="46"/>
    </row>
    <row r="284">
      <c r="A284" s="49"/>
      <c r="B284" s="46"/>
      <c r="C284" s="46"/>
      <c r="D284" s="46"/>
      <c r="E284" s="46"/>
      <c r="F284" s="46"/>
      <c r="G284" s="46"/>
      <c r="H284" s="46"/>
      <c r="I284" s="46"/>
    </row>
    <row r="285">
      <c r="A285" s="49"/>
      <c r="B285" s="46"/>
      <c r="C285" s="46"/>
      <c r="D285" s="46"/>
      <c r="E285" s="46"/>
      <c r="F285" s="46"/>
      <c r="G285" s="46"/>
      <c r="H285" s="46"/>
      <c r="I285" s="46"/>
    </row>
    <row r="286">
      <c r="A286" s="49"/>
      <c r="B286" s="46"/>
      <c r="C286" s="46"/>
      <c r="D286" s="46"/>
      <c r="E286" s="46"/>
      <c r="F286" s="46"/>
      <c r="G286" s="46"/>
      <c r="H286" s="46"/>
      <c r="I286" s="46"/>
    </row>
    <row r="287">
      <c r="A287" s="49"/>
      <c r="B287" s="46"/>
      <c r="C287" s="46"/>
      <c r="D287" s="46"/>
      <c r="E287" s="46"/>
      <c r="F287" s="46"/>
      <c r="G287" s="46"/>
      <c r="H287" s="46"/>
      <c r="I287" s="46"/>
    </row>
    <row r="288">
      <c r="A288" s="49"/>
      <c r="B288" s="46"/>
      <c r="C288" s="46"/>
      <c r="D288" s="46"/>
      <c r="E288" s="46"/>
      <c r="F288" s="46"/>
      <c r="G288" s="46"/>
      <c r="H288" s="46"/>
      <c r="I288" s="46"/>
    </row>
    <row r="289">
      <c r="A289" s="49"/>
      <c r="B289" s="46"/>
      <c r="C289" s="46"/>
      <c r="D289" s="46"/>
      <c r="E289" s="46"/>
      <c r="F289" s="46"/>
      <c r="G289" s="46"/>
      <c r="H289" s="46"/>
      <c r="I289" s="46"/>
    </row>
    <row r="290">
      <c r="A290" s="49"/>
      <c r="B290" s="46"/>
      <c r="C290" s="46"/>
      <c r="D290" s="46"/>
      <c r="E290" s="46"/>
      <c r="F290" s="46"/>
      <c r="G290" s="46"/>
      <c r="H290" s="46"/>
      <c r="I290" s="46"/>
    </row>
    <row r="291">
      <c r="A291" s="49"/>
      <c r="B291" s="46"/>
      <c r="C291" s="46"/>
      <c r="D291" s="46"/>
      <c r="E291" s="46"/>
      <c r="F291" s="46"/>
      <c r="G291" s="46"/>
      <c r="H291" s="46"/>
      <c r="I291" s="46"/>
    </row>
    <row r="292">
      <c r="A292" s="49"/>
      <c r="B292" s="46"/>
      <c r="C292" s="46"/>
      <c r="D292" s="46"/>
      <c r="E292" s="46"/>
      <c r="F292" s="46"/>
      <c r="G292" s="46"/>
      <c r="H292" s="46"/>
      <c r="I292" s="46"/>
    </row>
    <row r="293">
      <c r="A293" s="49"/>
      <c r="B293" s="46"/>
      <c r="C293" s="46"/>
      <c r="D293" s="46"/>
      <c r="E293" s="46"/>
      <c r="F293" s="46"/>
      <c r="G293" s="46"/>
      <c r="H293" s="46"/>
      <c r="I293" s="46"/>
    </row>
    <row r="294">
      <c r="A294" s="49"/>
      <c r="B294" s="46"/>
      <c r="C294" s="46"/>
      <c r="D294" s="46"/>
      <c r="E294" s="46"/>
      <c r="F294" s="46"/>
      <c r="G294" s="46"/>
      <c r="H294" s="46"/>
      <c r="I294" s="46"/>
    </row>
    <row r="295">
      <c r="A295" s="49"/>
      <c r="B295" s="46"/>
      <c r="C295" s="46"/>
      <c r="D295" s="46"/>
      <c r="E295" s="46"/>
      <c r="F295" s="46"/>
      <c r="G295" s="46"/>
      <c r="H295" s="46"/>
      <c r="I295" s="46"/>
    </row>
    <row r="296">
      <c r="A296" s="49"/>
      <c r="B296" s="46"/>
      <c r="C296" s="46"/>
      <c r="D296" s="46"/>
      <c r="E296" s="46"/>
      <c r="F296" s="46"/>
      <c r="G296" s="46"/>
      <c r="H296" s="46"/>
      <c r="I296" s="46"/>
    </row>
    <row r="297">
      <c r="A297" s="49"/>
      <c r="B297" s="46"/>
      <c r="C297" s="46"/>
      <c r="D297" s="46"/>
      <c r="E297" s="46"/>
      <c r="F297" s="46"/>
      <c r="G297" s="46"/>
      <c r="H297" s="46"/>
      <c r="I297" s="46"/>
    </row>
    <row r="298">
      <c r="A298" s="49"/>
      <c r="B298" s="46"/>
      <c r="C298" s="46"/>
      <c r="D298" s="46"/>
      <c r="E298" s="46"/>
      <c r="F298" s="46"/>
      <c r="G298" s="46"/>
      <c r="H298" s="46"/>
      <c r="I298" s="46"/>
    </row>
    <row r="299">
      <c r="A299" s="49"/>
      <c r="B299" s="46"/>
      <c r="C299" s="46"/>
      <c r="D299" s="46"/>
      <c r="E299" s="46"/>
      <c r="F299" s="46"/>
      <c r="G299" s="46"/>
      <c r="H299" s="46"/>
      <c r="I299" s="46"/>
    </row>
    <row r="300">
      <c r="A300" s="49"/>
      <c r="B300" s="46"/>
      <c r="C300" s="46"/>
      <c r="D300" s="46"/>
      <c r="E300" s="46"/>
      <c r="F300" s="46"/>
      <c r="G300" s="46"/>
      <c r="H300" s="46"/>
      <c r="I300" s="46"/>
    </row>
    <row r="301">
      <c r="A301" s="49"/>
      <c r="B301" s="46"/>
      <c r="C301" s="46"/>
      <c r="D301" s="46"/>
      <c r="E301" s="46"/>
      <c r="F301" s="46"/>
      <c r="G301" s="46"/>
      <c r="H301" s="46"/>
      <c r="I301" s="46"/>
    </row>
    <row r="302">
      <c r="A302" s="49"/>
      <c r="B302" s="46"/>
      <c r="C302" s="46"/>
      <c r="D302" s="46"/>
      <c r="E302" s="46"/>
      <c r="F302" s="46"/>
      <c r="G302" s="46"/>
      <c r="H302" s="46"/>
      <c r="I302" s="46"/>
    </row>
    <row r="303">
      <c r="A303" s="49"/>
      <c r="B303" s="46"/>
      <c r="C303" s="46"/>
      <c r="D303" s="46"/>
      <c r="E303" s="46"/>
      <c r="F303" s="46"/>
      <c r="G303" s="46"/>
      <c r="H303" s="46"/>
      <c r="I303" s="46"/>
    </row>
    <row r="304">
      <c r="A304" s="49"/>
      <c r="B304" s="46"/>
      <c r="C304" s="46"/>
      <c r="D304" s="46"/>
      <c r="E304" s="46"/>
      <c r="F304" s="46"/>
      <c r="G304" s="46"/>
      <c r="H304" s="46"/>
      <c r="I304" s="46"/>
    </row>
    <row r="305">
      <c r="A305" s="49"/>
      <c r="B305" s="46"/>
      <c r="C305" s="46"/>
      <c r="D305" s="46"/>
      <c r="E305" s="46"/>
      <c r="F305" s="46"/>
      <c r="G305" s="46"/>
      <c r="H305" s="46"/>
      <c r="I305" s="46"/>
    </row>
    <row r="306">
      <c r="A306" s="49"/>
      <c r="B306" s="46"/>
      <c r="C306" s="46"/>
      <c r="D306" s="46"/>
      <c r="E306" s="46"/>
      <c r="F306" s="46"/>
      <c r="G306" s="46"/>
      <c r="H306" s="46"/>
      <c r="I306" s="46"/>
    </row>
    <row r="307">
      <c r="A307" s="49"/>
      <c r="B307" s="46"/>
      <c r="C307" s="46"/>
      <c r="D307" s="46"/>
      <c r="E307" s="46"/>
      <c r="F307" s="46"/>
      <c r="G307" s="46"/>
      <c r="H307" s="46"/>
      <c r="I307" s="46"/>
    </row>
    <row r="308">
      <c r="A308" s="49"/>
      <c r="B308" s="46"/>
      <c r="C308" s="46"/>
      <c r="D308" s="46"/>
      <c r="E308" s="46"/>
      <c r="F308" s="46"/>
      <c r="G308" s="46"/>
      <c r="H308" s="46"/>
      <c r="I308" s="46"/>
    </row>
    <row r="309">
      <c r="A309" s="49"/>
      <c r="B309" s="46"/>
      <c r="C309" s="46"/>
      <c r="D309" s="46"/>
      <c r="E309" s="46"/>
      <c r="F309" s="46"/>
      <c r="G309" s="46"/>
      <c r="H309" s="46"/>
      <c r="I309" s="46"/>
    </row>
    <row r="310">
      <c r="A310" s="49"/>
      <c r="B310" s="46"/>
      <c r="C310" s="46"/>
      <c r="D310" s="46"/>
      <c r="E310" s="46"/>
      <c r="F310" s="46"/>
      <c r="G310" s="46"/>
      <c r="H310" s="46"/>
      <c r="I310" s="46"/>
    </row>
    <row r="311">
      <c r="A311" s="49"/>
      <c r="B311" s="46"/>
      <c r="C311" s="46"/>
      <c r="D311" s="46"/>
      <c r="E311" s="46"/>
      <c r="F311" s="46"/>
      <c r="G311" s="46"/>
      <c r="H311" s="46"/>
      <c r="I311" s="46"/>
    </row>
    <row r="312">
      <c r="A312" s="49"/>
      <c r="B312" s="46"/>
      <c r="C312" s="46"/>
      <c r="D312" s="46"/>
      <c r="E312" s="46"/>
      <c r="F312" s="46"/>
      <c r="G312" s="46"/>
      <c r="H312" s="46"/>
      <c r="I312" s="46"/>
    </row>
    <row r="313">
      <c r="A313" s="49"/>
      <c r="B313" s="46"/>
      <c r="C313" s="46"/>
      <c r="D313" s="46"/>
      <c r="E313" s="46"/>
      <c r="F313" s="46"/>
      <c r="G313" s="46"/>
      <c r="H313" s="46"/>
      <c r="I313" s="46"/>
    </row>
    <row r="314">
      <c r="A314" s="49"/>
      <c r="B314" s="46"/>
      <c r="C314" s="46"/>
      <c r="D314" s="46"/>
      <c r="E314" s="46"/>
      <c r="F314" s="46"/>
      <c r="G314" s="46"/>
      <c r="H314" s="46"/>
      <c r="I314" s="46"/>
    </row>
    <row r="315">
      <c r="A315" s="49"/>
      <c r="B315" s="46"/>
      <c r="C315" s="46"/>
      <c r="D315" s="46"/>
      <c r="E315" s="46"/>
      <c r="F315" s="46"/>
      <c r="G315" s="46"/>
      <c r="H315" s="46"/>
      <c r="I315" s="46"/>
    </row>
    <row r="316">
      <c r="A316" s="49"/>
      <c r="B316" s="46"/>
      <c r="C316" s="46"/>
      <c r="D316" s="46"/>
      <c r="E316" s="46"/>
      <c r="F316" s="46"/>
      <c r="G316" s="46"/>
      <c r="H316" s="46"/>
      <c r="I316" s="46"/>
    </row>
    <row r="317">
      <c r="A317" s="49"/>
      <c r="B317" s="46"/>
      <c r="C317" s="46"/>
      <c r="D317" s="46"/>
      <c r="E317" s="46"/>
      <c r="F317" s="46"/>
      <c r="G317" s="46"/>
      <c r="H317" s="46"/>
      <c r="I317" s="46"/>
    </row>
    <row r="318">
      <c r="A318" s="49"/>
      <c r="B318" s="46"/>
      <c r="C318" s="46"/>
      <c r="D318" s="46"/>
      <c r="E318" s="46"/>
      <c r="F318" s="46"/>
      <c r="G318" s="46"/>
      <c r="H318" s="46"/>
      <c r="I318" s="46"/>
    </row>
    <row r="319">
      <c r="A319" s="49"/>
      <c r="B319" s="46"/>
      <c r="C319" s="46"/>
      <c r="D319" s="46"/>
      <c r="E319" s="46"/>
      <c r="F319" s="46"/>
      <c r="G319" s="46"/>
      <c r="H319" s="46"/>
      <c r="I319" s="46"/>
    </row>
    <row r="320">
      <c r="A320" s="49"/>
      <c r="B320" s="46"/>
      <c r="C320" s="46"/>
      <c r="D320" s="46"/>
      <c r="E320" s="46"/>
      <c r="F320" s="46"/>
      <c r="G320" s="46"/>
      <c r="H320" s="46"/>
      <c r="I320" s="46"/>
    </row>
    <row r="321">
      <c r="A321" s="49"/>
      <c r="B321" s="46"/>
      <c r="C321" s="46"/>
      <c r="D321" s="46"/>
      <c r="E321" s="46"/>
      <c r="F321" s="46"/>
      <c r="G321" s="46"/>
      <c r="H321" s="46"/>
      <c r="I321" s="46"/>
    </row>
    <row r="322">
      <c r="A322" s="49"/>
      <c r="B322" s="46"/>
      <c r="C322" s="46"/>
      <c r="D322" s="46"/>
      <c r="E322" s="46"/>
      <c r="F322" s="46"/>
      <c r="G322" s="46"/>
      <c r="H322" s="46"/>
      <c r="I322" s="46"/>
    </row>
    <row r="323">
      <c r="A323" s="49"/>
      <c r="B323" s="46"/>
      <c r="C323" s="46"/>
      <c r="D323" s="46"/>
      <c r="E323" s="46"/>
      <c r="F323" s="46"/>
      <c r="G323" s="46"/>
      <c r="H323" s="46"/>
      <c r="I323" s="46"/>
    </row>
    <row r="324">
      <c r="A324" s="49"/>
      <c r="B324" s="46"/>
      <c r="C324" s="46"/>
      <c r="D324" s="46"/>
      <c r="E324" s="46"/>
      <c r="F324" s="46"/>
      <c r="G324" s="46"/>
      <c r="H324" s="46"/>
      <c r="I324" s="46"/>
    </row>
    <row r="325">
      <c r="A325" s="49"/>
      <c r="B325" s="46"/>
      <c r="C325" s="46"/>
      <c r="D325" s="46"/>
      <c r="E325" s="46"/>
      <c r="F325" s="46"/>
      <c r="G325" s="46"/>
      <c r="H325" s="46"/>
      <c r="I325" s="46"/>
    </row>
    <row r="326">
      <c r="A326" s="49"/>
      <c r="B326" s="46"/>
      <c r="C326" s="46"/>
      <c r="D326" s="46"/>
      <c r="E326" s="46"/>
      <c r="F326" s="46"/>
      <c r="G326" s="46"/>
      <c r="H326" s="46"/>
      <c r="I326" s="46"/>
    </row>
    <row r="327">
      <c r="A327" s="49"/>
      <c r="B327" s="46"/>
      <c r="C327" s="46"/>
      <c r="D327" s="46"/>
      <c r="E327" s="46"/>
      <c r="F327" s="46"/>
      <c r="G327" s="46"/>
      <c r="H327" s="46"/>
      <c r="I327" s="46"/>
    </row>
    <row r="328">
      <c r="A328" s="49"/>
      <c r="B328" s="46"/>
      <c r="C328" s="46"/>
      <c r="D328" s="46"/>
      <c r="E328" s="46"/>
      <c r="F328" s="46"/>
      <c r="G328" s="46"/>
      <c r="H328" s="46"/>
      <c r="I328" s="46"/>
    </row>
    <row r="329">
      <c r="A329" s="49"/>
      <c r="B329" s="46"/>
      <c r="C329" s="46"/>
      <c r="D329" s="46"/>
      <c r="E329" s="46"/>
      <c r="F329" s="46"/>
      <c r="G329" s="46"/>
      <c r="H329" s="46"/>
      <c r="I329" s="46"/>
    </row>
    <row r="330">
      <c r="A330" s="49"/>
      <c r="B330" s="46"/>
      <c r="C330" s="46"/>
      <c r="D330" s="46"/>
      <c r="E330" s="46"/>
      <c r="F330" s="46"/>
      <c r="G330" s="46"/>
      <c r="H330" s="46"/>
      <c r="I330" s="46"/>
    </row>
    <row r="331">
      <c r="A331" s="49"/>
      <c r="B331" s="46"/>
      <c r="C331" s="46"/>
      <c r="D331" s="46"/>
      <c r="E331" s="46"/>
      <c r="F331" s="46"/>
      <c r="G331" s="46"/>
      <c r="H331" s="46"/>
      <c r="I331" s="46"/>
    </row>
    <row r="332">
      <c r="A332" s="49"/>
      <c r="B332" s="46"/>
      <c r="C332" s="46"/>
      <c r="D332" s="46"/>
      <c r="E332" s="46"/>
      <c r="F332" s="46"/>
      <c r="G332" s="46"/>
      <c r="H332" s="46"/>
      <c r="I332" s="46"/>
    </row>
    <row r="333">
      <c r="A333" s="49"/>
      <c r="B333" s="46"/>
      <c r="C333" s="46"/>
      <c r="D333" s="46"/>
      <c r="E333" s="46"/>
      <c r="F333" s="46"/>
      <c r="G333" s="46"/>
      <c r="H333" s="46"/>
      <c r="I333" s="46"/>
    </row>
    <row r="334">
      <c r="A334" s="49"/>
      <c r="B334" s="46"/>
      <c r="C334" s="46"/>
      <c r="D334" s="46"/>
      <c r="E334" s="46"/>
      <c r="F334" s="46"/>
      <c r="G334" s="46"/>
      <c r="H334" s="46"/>
      <c r="I334" s="46"/>
    </row>
    <row r="335">
      <c r="A335" s="49"/>
      <c r="B335" s="46"/>
      <c r="C335" s="46"/>
      <c r="D335" s="46"/>
      <c r="E335" s="46"/>
      <c r="F335" s="46"/>
      <c r="G335" s="46"/>
      <c r="H335" s="46"/>
      <c r="I335" s="46"/>
    </row>
    <row r="336">
      <c r="A336" s="49"/>
      <c r="B336" s="46"/>
      <c r="C336" s="46"/>
      <c r="D336" s="46"/>
      <c r="E336" s="46"/>
      <c r="F336" s="46"/>
      <c r="G336" s="46"/>
      <c r="H336" s="46"/>
      <c r="I336" s="46"/>
    </row>
    <row r="337">
      <c r="A337" s="49"/>
      <c r="B337" s="46"/>
      <c r="C337" s="46"/>
      <c r="D337" s="46"/>
      <c r="E337" s="46"/>
      <c r="F337" s="46"/>
      <c r="G337" s="46"/>
      <c r="H337" s="46"/>
      <c r="I337" s="46"/>
    </row>
    <row r="338">
      <c r="A338" s="49"/>
      <c r="B338" s="46"/>
      <c r="C338" s="46"/>
      <c r="D338" s="46"/>
      <c r="E338" s="46"/>
      <c r="F338" s="46"/>
      <c r="G338" s="46"/>
      <c r="H338" s="46"/>
      <c r="I338" s="46"/>
    </row>
    <row r="339">
      <c r="A339" s="49"/>
      <c r="B339" s="46"/>
      <c r="C339" s="46"/>
      <c r="D339" s="46"/>
      <c r="E339" s="46"/>
      <c r="F339" s="46"/>
      <c r="G339" s="46"/>
      <c r="H339" s="46"/>
      <c r="I339" s="46"/>
    </row>
    <row r="340">
      <c r="A340" s="49"/>
      <c r="B340" s="46"/>
      <c r="C340" s="46"/>
      <c r="D340" s="46"/>
      <c r="E340" s="46"/>
      <c r="F340" s="46"/>
      <c r="G340" s="46"/>
      <c r="H340" s="46"/>
      <c r="I340" s="46"/>
    </row>
    <row r="341">
      <c r="A341" s="49"/>
      <c r="B341" s="46"/>
      <c r="C341" s="46"/>
      <c r="D341" s="46"/>
      <c r="E341" s="46"/>
      <c r="F341" s="46"/>
      <c r="G341" s="46"/>
      <c r="H341" s="46"/>
      <c r="I341" s="46"/>
    </row>
    <row r="342">
      <c r="A342" s="49"/>
      <c r="B342" s="46"/>
      <c r="C342" s="46"/>
      <c r="D342" s="46"/>
      <c r="E342" s="46"/>
      <c r="F342" s="46"/>
      <c r="G342" s="46"/>
      <c r="H342" s="46"/>
      <c r="I342" s="46"/>
    </row>
    <row r="343">
      <c r="A343" s="49"/>
      <c r="B343" s="46"/>
      <c r="C343" s="46"/>
      <c r="D343" s="46"/>
      <c r="E343" s="46"/>
      <c r="F343" s="46"/>
      <c r="G343" s="46"/>
      <c r="H343" s="46"/>
      <c r="I343" s="46"/>
    </row>
    <row r="344">
      <c r="A344" s="49"/>
      <c r="B344" s="46"/>
      <c r="C344" s="46"/>
      <c r="D344" s="46"/>
      <c r="E344" s="46"/>
      <c r="F344" s="46"/>
      <c r="G344" s="46"/>
      <c r="H344" s="46"/>
      <c r="I344" s="46"/>
    </row>
    <row r="345">
      <c r="A345" s="49"/>
      <c r="B345" s="46"/>
      <c r="C345" s="46"/>
      <c r="D345" s="46"/>
      <c r="E345" s="46"/>
      <c r="F345" s="46"/>
      <c r="G345" s="46"/>
      <c r="H345" s="46"/>
      <c r="I345" s="46"/>
    </row>
    <row r="346">
      <c r="A346" s="49"/>
      <c r="B346" s="46"/>
      <c r="C346" s="46"/>
      <c r="D346" s="46"/>
      <c r="E346" s="46"/>
      <c r="F346" s="46"/>
      <c r="G346" s="46"/>
      <c r="H346" s="46"/>
      <c r="I346" s="46"/>
    </row>
    <row r="347">
      <c r="A347" s="49"/>
      <c r="B347" s="46"/>
      <c r="C347" s="46"/>
      <c r="D347" s="46"/>
      <c r="E347" s="46"/>
      <c r="F347" s="46"/>
      <c r="G347" s="46"/>
      <c r="H347" s="46"/>
      <c r="I347" s="46"/>
    </row>
    <row r="348">
      <c r="A348" s="49"/>
      <c r="B348" s="46"/>
      <c r="C348" s="46"/>
      <c r="D348" s="46"/>
      <c r="E348" s="46"/>
      <c r="F348" s="46"/>
      <c r="G348" s="46"/>
      <c r="H348" s="46"/>
      <c r="I348" s="46"/>
    </row>
    <row r="349">
      <c r="A349" s="49"/>
      <c r="B349" s="46"/>
      <c r="C349" s="46"/>
      <c r="D349" s="46"/>
      <c r="E349" s="46"/>
      <c r="F349" s="46"/>
      <c r="G349" s="46"/>
      <c r="H349" s="46"/>
      <c r="I349" s="46"/>
    </row>
    <row r="350">
      <c r="A350" s="49"/>
      <c r="B350" s="46"/>
      <c r="C350" s="46"/>
      <c r="D350" s="46"/>
      <c r="E350" s="46"/>
      <c r="F350" s="46"/>
      <c r="G350" s="46"/>
      <c r="H350" s="46"/>
      <c r="I350" s="46"/>
    </row>
    <row r="351">
      <c r="A351" s="49"/>
      <c r="B351" s="46"/>
      <c r="C351" s="46"/>
      <c r="D351" s="46"/>
      <c r="E351" s="46"/>
      <c r="F351" s="46"/>
      <c r="G351" s="46"/>
      <c r="H351" s="46"/>
      <c r="I351" s="46"/>
    </row>
    <row r="352">
      <c r="A352" s="49"/>
      <c r="B352" s="46"/>
      <c r="C352" s="46"/>
      <c r="D352" s="46"/>
      <c r="E352" s="46"/>
      <c r="F352" s="46"/>
      <c r="G352" s="46"/>
      <c r="H352" s="46"/>
      <c r="I352" s="46"/>
    </row>
    <row r="353">
      <c r="A353" s="49"/>
      <c r="B353" s="46"/>
      <c r="C353" s="46"/>
      <c r="D353" s="46"/>
      <c r="E353" s="46"/>
      <c r="F353" s="46"/>
      <c r="G353" s="46"/>
      <c r="H353" s="46"/>
      <c r="I353" s="46"/>
    </row>
    <row r="354">
      <c r="A354" s="49"/>
      <c r="B354" s="46"/>
      <c r="C354" s="46"/>
      <c r="D354" s="46"/>
      <c r="E354" s="46"/>
      <c r="F354" s="46"/>
      <c r="G354" s="46"/>
      <c r="H354" s="46"/>
      <c r="I354" s="46"/>
    </row>
    <row r="355">
      <c r="A355" s="49"/>
      <c r="B355" s="46"/>
      <c r="C355" s="46"/>
      <c r="D355" s="46"/>
      <c r="E355" s="46"/>
      <c r="F355" s="46"/>
      <c r="G355" s="46"/>
      <c r="H355" s="46"/>
      <c r="I355" s="46"/>
    </row>
    <row r="356">
      <c r="A356" s="49"/>
      <c r="B356" s="46"/>
      <c r="C356" s="46"/>
      <c r="D356" s="46"/>
      <c r="E356" s="46"/>
      <c r="F356" s="46"/>
      <c r="G356" s="46"/>
      <c r="H356" s="46"/>
      <c r="I356" s="46"/>
    </row>
    <row r="357">
      <c r="A357" s="49"/>
      <c r="B357" s="46"/>
      <c r="C357" s="46"/>
      <c r="D357" s="46"/>
      <c r="E357" s="46"/>
      <c r="F357" s="46"/>
      <c r="G357" s="46"/>
      <c r="H357" s="46"/>
      <c r="I357" s="46"/>
    </row>
    <row r="358">
      <c r="A358" s="49"/>
      <c r="B358" s="46"/>
      <c r="C358" s="46"/>
      <c r="D358" s="46"/>
      <c r="E358" s="46"/>
      <c r="F358" s="46"/>
      <c r="G358" s="46"/>
      <c r="H358" s="46"/>
      <c r="I358" s="46"/>
    </row>
    <row r="359">
      <c r="A359" s="49"/>
      <c r="B359" s="46"/>
      <c r="C359" s="46"/>
      <c r="D359" s="46"/>
      <c r="E359" s="46"/>
      <c r="F359" s="46"/>
      <c r="G359" s="46"/>
      <c r="H359" s="46"/>
      <c r="I359" s="46"/>
    </row>
    <row r="360">
      <c r="A360" s="49"/>
      <c r="B360" s="46"/>
      <c r="C360" s="46"/>
      <c r="D360" s="46"/>
      <c r="E360" s="46"/>
      <c r="F360" s="46"/>
      <c r="G360" s="46"/>
      <c r="H360" s="46"/>
      <c r="I360" s="46"/>
    </row>
    <row r="361">
      <c r="A361" s="49"/>
      <c r="B361" s="46"/>
      <c r="C361" s="46"/>
      <c r="D361" s="46"/>
      <c r="E361" s="46"/>
      <c r="F361" s="46"/>
      <c r="G361" s="46"/>
      <c r="H361" s="46"/>
      <c r="I361" s="46"/>
    </row>
    <row r="362">
      <c r="A362" s="49"/>
      <c r="B362" s="46"/>
      <c r="C362" s="46"/>
      <c r="D362" s="46"/>
      <c r="E362" s="46"/>
      <c r="F362" s="46"/>
      <c r="G362" s="46"/>
      <c r="H362" s="46"/>
      <c r="I362" s="46"/>
    </row>
    <row r="363">
      <c r="A363" s="49"/>
      <c r="B363" s="46"/>
      <c r="C363" s="46"/>
      <c r="D363" s="46"/>
      <c r="E363" s="46"/>
      <c r="F363" s="46"/>
      <c r="G363" s="46"/>
      <c r="H363" s="46"/>
      <c r="I363" s="46"/>
    </row>
    <row r="364">
      <c r="A364" s="49"/>
      <c r="B364" s="46"/>
      <c r="C364" s="46"/>
      <c r="D364" s="46"/>
      <c r="E364" s="46"/>
      <c r="F364" s="46"/>
      <c r="G364" s="46"/>
      <c r="H364" s="46"/>
      <c r="I364" s="46"/>
    </row>
    <row r="365">
      <c r="A365" s="49"/>
      <c r="B365" s="46"/>
      <c r="C365" s="46"/>
      <c r="D365" s="46"/>
      <c r="E365" s="46"/>
      <c r="F365" s="46"/>
      <c r="G365" s="46"/>
      <c r="H365" s="46"/>
      <c r="I365" s="46"/>
    </row>
    <row r="366">
      <c r="A366" s="49"/>
      <c r="B366" s="46"/>
      <c r="C366" s="46"/>
      <c r="D366" s="46"/>
      <c r="E366" s="46"/>
      <c r="F366" s="46"/>
      <c r="G366" s="46"/>
      <c r="H366" s="46"/>
      <c r="I366" s="46"/>
    </row>
    <row r="367">
      <c r="A367" s="49"/>
      <c r="B367" s="46"/>
      <c r="C367" s="46"/>
      <c r="D367" s="46"/>
      <c r="E367" s="46"/>
      <c r="F367" s="46"/>
      <c r="G367" s="46"/>
      <c r="H367" s="46"/>
      <c r="I367" s="46"/>
    </row>
    <row r="368">
      <c r="A368" s="49"/>
      <c r="B368" s="46"/>
      <c r="C368" s="46"/>
      <c r="D368" s="46"/>
      <c r="E368" s="46"/>
      <c r="F368" s="46"/>
      <c r="G368" s="46"/>
      <c r="H368" s="46"/>
      <c r="I368" s="46"/>
    </row>
    <row r="369">
      <c r="A369" s="49"/>
      <c r="B369" s="46"/>
      <c r="C369" s="46"/>
      <c r="D369" s="46"/>
      <c r="E369" s="46"/>
      <c r="F369" s="46"/>
      <c r="G369" s="46"/>
      <c r="H369" s="46"/>
      <c r="I369" s="46"/>
    </row>
    <row r="370">
      <c r="A370" s="49"/>
      <c r="B370" s="46"/>
      <c r="C370" s="46"/>
      <c r="D370" s="46"/>
      <c r="E370" s="46"/>
      <c r="F370" s="46"/>
      <c r="G370" s="46"/>
      <c r="H370" s="46"/>
      <c r="I370" s="46"/>
    </row>
    <row r="371">
      <c r="A371" s="49"/>
      <c r="B371" s="46"/>
      <c r="C371" s="46"/>
      <c r="D371" s="46"/>
      <c r="E371" s="46"/>
      <c r="F371" s="46"/>
      <c r="G371" s="46"/>
      <c r="H371" s="46"/>
      <c r="I371" s="46"/>
    </row>
    <row r="372">
      <c r="A372" s="49"/>
      <c r="B372" s="46"/>
      <c r="C372" s="46"/>
      <c r="D372" s="46"/>
      <c r="E372" s="46"/>
      <c r="F372" s="46"/>
      <c r="G372" s="46"/>
      <c r="H372" s="46"/>
      <c r="I372" s="46"/>
    </row>
    <row r="373">
      <c r="A373" s="49"/>
      <c r="B373" s="46"/>
      <c r="C373" s="46"/>
      <c r="D373" s="46"/>
      <c r="E373" s="46"/>
      <c r="F373" s="46"/>
      <c r="G373" s="46"/>
      <c r="H373" s="46"/>
      <c r="I373" s="46"/>
    </row>
    <row r="374">
      <c r="A374" s="49"/>
      <c r="B374" s="46"/>
      <c r="C374" s="46"/>
      <c r="D374" s="46"/>
      <c r="E374" s="46"/>
      <c r="F374" s="46"/>
      <c r="G374" s="46"/>
      <c r="H374" s="46"/>
      <c r="I374" s="46"/>
    </row>
    <row r="375">
      <c r="A375" s="49"/>
      <c r="B375" s="46"/>
      <c r="C375" s="46"/>
      <c r="D375" s="46"/>
      <c r="E375" s="46"/>
      <c r="F375" s="46"/>
      <c r="G375" s="46"/>
      <c r="H375" s="46"/>
      <c r="I375" s="46"/>
    </row>
    <row r="376">
      <c r="A376" s="49"/>
      <c r="B376" s="46"/>
      <c r="C376" s="46"/>
      <c r="D376" s="46"/>
      <c r="E376" s="46"/>
      <c r="F376" s="46"/>
      <c r="G376" s="46"/>
      <c r="H376" s="46"/>
      <c r="I376" s="46"/>
    </row>
    <row r="377">
      <c r="A377" s="49"/>
      <c r="B377" s="46"/>
      <c r="C377" s="46"/>
      <c r="D377" s="46"/>
      <c r="E377" s="46"/>
      <c r="F377" s="46"/>
      <c r="G377" s="46"/>
      <c r="H377" s="46"/>
      <c r="I377" s="46"/>
    </row>
    <row r="378">
      <c r="A378" s="49"/>
      <c r="B378" s="46"/>
      <c r="C378" s="46"/>
      <c r="D378" s="46"/>
      <c r="E378" s="46"/>
      <c r="F378" s="46"/>
      <c r="G378" s="46"/>
      <c r="H378" s="46"/>
      <c r="I378" s="46"/>
    </row>
    <row r="379">
      <c r="A379" s="49"/>
      <c r="B379" s="46"/>
      <c r="C379" s="46"/>
      <c r="D379" s="46"/>
      <c r="E379" s="46"/>
      <c r="F379" s="46"/>
      <c r="G379" s="46"/>
      <c r="H379" s="46"/>
      <c r="I379" s="46"/>
    </row>
    <row r="380">
      <c r="A380" s="49"/>
      <c r="B380" s="46"/>
      <c r="C380" s="46"/>
      <c r="D380" s="46"/>
      <c r="E380" s="46"/>
      <c r="F380" s="46"/>
      <c r="G380" s="46"/>
      <c r="H380" s="46"/>
      <c r="I380" s="46"/>
    </row>
    <row r="381">
      <c r="A381" s="49"/>
      <c r="B381" s="46"/>
      <c r="C381" s="46"/>
      <c r="D381" s="46"/>
      <c r="E381" s="46"/>
      <c r="F381" s="46"/>
      <c r="G381" s="46"/>
      <c r="H381" s="46"/>
      <c r="I381" s="46"/>
    </row>
    <row r="382">
      <c r="A382" s="49"/>
      <c r="B382" s="46"/>
      <c r="C382" s="46"/>
      <c r="D382" s="46"/>
      <c r="E382" s="46"/>
      <c r="F382" s="46"/>
      <c r="G382" s="46"/>
      <c r="H382" s="46"/>
      <c r="I382" s="46"/>
    </row>
    <row r="383">
      <c r="A383" s="49"/>
      <c r="B383" s="46"/>
      <c r="C383" s="46"/>
      <c r="D383" s="46"/>
      <c r="E383" s="46"/>
      <c r="F383" s="46"/>
      <c r="G383" s="46"/>
      <c r="H383" s="46"/>
      <c r="I383" s="46"/>
    </row>
    <row r="384">
      <c r="A384" s="49"/>
      <c r="B384" s="46"/>
      <c r="C384" s="46"/>
      <c r="D384" s="46"/>
      <c r="E384" s="46"/>
      <c r="F384" s="46"/>
      <c r="G384" s="46"/>
      <c r="H384" s="46"/>
      <c r="I384" s="46"/>
    </row>
    <row r="385">
      <c r="A385" s="49"/>
      <c r="B385" s="46"/>
      <c r="C385" s="46"/>
      <c r="D385" s="46"/>
      <c r="E385" s="46"/>
      <c r="F385" s="46"/>
      <c r="G385" s="46"/>
      <c r="H385" s="46"/>
      <c r="I385" s="46"/>
    </row>
    <row r="386">
      <c r="A386" s="49"/>
      <c r="B386" s="46"/>
      <c r="C386" s="46"/>
      <c r="D386" s="46"/>
      <c r="E386" s="46"/>
      <c r="F386" s="46"/>
      <c r="G386" s="46"/>
      <c r="H386" s="46"/>
      <c r="I386" s="46"/>
    </row>
    <row r="387">
      <c r="A387" s="49"/>
      <c r="B387" s="46"/>
      <c r="C387" s="46"/>
      <c r="D387" s="46"/>
      <c r="E387" s="46"/>
      <c r="F387" s="46"/>
      <c r="G387" s="46"/>
      <c r="H387" s="46"/>
      <c r="I387" s="46"/>
    </row>
    <row r="388">
      <c r="A388" s="49"/>
      <c r="B388" s="46"/>
      <c r="C388" s="46"/>
      <c r="D388" s="46"/>
      <c r="E388" s="46"/>
      <c r="F388" s="46"/>
      <c r="G388" s="46"/>
      <c r="H388" s="46"/>
      <c r="I388" s="46"/>
    </row>
    <row r="389">
      <c r="A389" s="49"/>
      <c r="B389" s="46"/>
      <c r="C389" s="46"/>
      <c r="D389" s="46"/>
      <c r="E389" s="46"/>
      <c r="F389" s="46"/>
      <c r="G389" s="46"/>
      <c r="H389" s="46"/>
      <c r="I389" s="46"/>
    </row>
    <row r="390">
      <c r="A390" s="49"/>
      <c r="B390" s="46"/>
      <c r="C390" s="46"/>
      <c r="D390" s="46"/>
      <c r="E390" s="46"/>
      <c r="F390" s="46"/>
      <c r="G390" s="46"/>
      <c r="H390" s="46"/>
      <c r="I390" s="46"/>
    </row>
    <row r="391">
      <c r="A391" s="49"/>
      <c r="B391" s="46"/>
      <c r="C391" s="46"/>
      <c r="D391" s="46"/>
      <c r="E391" s="46"/>
      <c r="F391" s="46"/>
      <c r="G391" s="46"/>
      <c r="H391" s="46"/>
      <c r="I391" s="46"/>
    </row>
    <row r="392">
      <c r="A392" s="49"/>
      <c r="B392" s="46"/>
      <c r="C392" s="46"/>
      <c r="D392" s="46"/>
      <c r="E392" s="46"/>
      <c r="F392" s="46"/>
      <c r="G392" s="46"/>
      <c r="H392" s="46"/>
      <c r="I392" s="46"/>
    </row>
    <row r="393">
      <c r="A393" s="49"/>
      <c r="B393" s="46"/>
      <c r="C393" s="46"/>
      <c r="D393" s="46"/>
      <c r="E393" s="46"/>
      <c r="F393" s="46"/>
      <c r="G393" s="46"/>
      <c r="H393" s="46"/>
      <c r="I393" s="46"/>
    </row>
    <row r="394">
      <c r="A394" s="49"/>
      <c r="B394" s="46"/>
      <c r="C394" s="46"/>
      <c r="D394" s="46"/>
      <c r="E394" s="46"/>
      <c r="F394" s="46"/>
      <c r="G394" s="46"/>
      <c r="H394" s="46"/>
      <c r="I394" s="46"/>
    </row>
    <row r="395">
      <c r="A395" s="49"/>
      <c r="B395" s="46"/>
      <c r="C395" s="46"/>
      <c r="D395" s="46"/>
      <c r="E395" s="46"/>
      <c r="F395" s="46"/>
      <c r="G395" s="46"/>
      <c r="H395" s="46"/>
      <c r="I395" s="46"/>
    </row>
    <row r="396">
      <c r="A396" s="49"/>
      <c r="B396" s="46"/>
      <c r="C396" s="46"/>
      <c r="D396" s="46"/>
      <c r="E396" s="46"/>
      <c r="F396" s="46"/>
      <c r="G396" s="46"/>
      <c r="H396" s="46"/>
      <c r="I396" s="46"/>
    </row>
    <row r="397">
      <c r="A397" s="49"/>
      <c r="B397" s="46"/>
      <c r="C397" s="46"/>
      <c r="D397" s="46"/>
      <c r="E397" s="46"/>
      <c r="F397" s="46"/>
      <c r="G397" s="46"/>
      <c r="H397" s="46"/>
      <c r="I397" s="46"/>
    </row>
    <row r="398">
      <c r="A398" s="49"/>
      <c r="B398" s="46"/>
      <c r="C398" s="46"/>
      <c r="D398" s="46"/>
      <c r="E398" s="46"/>
      <c r="F398" s="46"/>
      <c r="G398" s="46"/>
      <c r="H398" s="46"/>
      <c r="I398" s="46"/>
    </row>
    <row r="399">
      <c r="A399" s="49"/>
      <c r="B399" s="46"/>
      <c r="C399" s="46"/>
      <c r="D399" s="46"/>
      <c r="E399" s="46"/>
      <c r="F399" s="46"/>
      <c r="G399" s="46"/>
      <c r="H399" s="46"/>
      <c r="I399" s="46"/>
    </row>
    <row r="400">
      <c r="A400" s="49"/>
      <c r="B400" s="46"/>
      <c r="C400" s="46"/>
      <c r="D400" s="46"/>
      <c r="E400" s="46"/>
      <c r="F400" s="46"/>
      <c r="G400" s="46"/>
      <c r="H400" s="46"/>
      <c r="I400" s="46"/>
    </row>
    <row r="401">
      <c r="A401" s="49"/>
      <c r="B401" s="46"/>
      <c r="C401" s="46"/>
      <c r="D401" s="46"/>
      <c r="E401" s="46"/>
      <c r="F401" s="46"/>
      <c r="G401" s="46"/>
      <c r="H401" s="46"/>
      <c r="I401" s="46"/>
    </row>
    <row r="402">
      <c r="A402" s="49"/>
      <c r="B402" s="46"/>
      <c r="C402" s="46"/>
      <c r="D402" s="46"/>
      <c r="E402" s="46"/>
      <c r="F402" s="46"/>
      <c r="G402" s="46"/>
      <c r="H402" s="46"/>
      <c r="I402" s="46"/>
    </row>
    <row r="403">
      <c r="A403" s="49"/>
      <c r="B403" s="46"/>
      <c r="C403" s="46"/>
      <c r="D403" s="46"/>
      <c r="E403" s="46"/>
      <c r="F403" s="46"/>
      <c r="G403" s="46"/>
      <c r="H403" s="46"/>
      <c r="I403" s="46"/>
    </row>
    <row r="404">
      <c r="A404" s="49"/>
      <c r="B404" s="46"/>
      <c r="C404" s="46"/>
      <c r="D404" s="46"/>
      <c r="E404" s="46"/>
      <c r="F404" s="46"/>
      <c r="G404" s="46"/>
      <c r="H404" s="46"/>
      <c r="I404" s="46"/>
    </row>
    <row r="405">
      <c r="A405" s="49"/>
      <c r="B405" s="46"/>
      <c r="C405" s="46"/>
      <c r="D405" s="46"/>
      <c r="E405" s="46"/>
      <c r="F405" s="46"/>
      <c r="G405" s="46"/>
      <c r="H405" s="46"/>
      <c r="I405" s="46"/>
    </row>
    <row r="406">
      <c r="A406" s="49"/>
      <c r="B406" s="46"/>
      <c r="C406" s="46"/>
      <c r="D406" s="46"/>
      <c r="E406" s="46"/>
      <c r="F406" s="46"/>
      <c r="G406" s="46"/>
      <c r="H406" s="46"/>
      <c r="I406" s="46"/>
    </row>
    <row r="407">
      <c r="A407" s="49"/>
      <c r="B407" s="46"/>
      <c r="C407" s="46"/>
      <c r="D407" s="46"/>
      <c r="E407" s="46"/>
      <c r="F407" s="46"/>
      <c r="G407" s="46"/>
      <c r="H407" s="46"/>
      <c r="I407" s="46"/>
    </row>
    <row r="408">
      <c r="A408" s="49"/>
      <c r="B408" s="46"/>
      <c r="C408" s="46"/>
      <c r="D408" s="46"/>
      <c r="E408" s="46"/>
      <c r="F408" s="46"/>
      <c r="G408" s="46"/>
      <c r="H408" s="46"/>
      <c r="I408" s="46"/>
    </row>
    <row r="409">
      <c r="A409" s="49"/>
      <c r="B409" s="46"/>
      <c r="C409" s="46"/>
      <c r="D409" s="46"/>
      <c r="E409" s="46"/>
      <c r="F409" s="46"/>
      <c r="G409" s="46"/>
      <c r="H409" s="46"/>
      <c r="I409" s="46"/>
    </row>
    <row r="410">
      <c r="A410" s="49"/>
      <c r="B410" s="46"/>
      <c r="C410" s="46"/>
      <c r="D410" s="46"/>
      <c r="E410" s="46"/>
      <c r="F410" s="46"/>
      <c r="G410" s="46"/>
      <c r="H410" s="46"/>
      <c r="I410" s="46"/>
    </row>
    <row r="411">
      <c r="A411" s="49"/>
      <c r="B411" s="46"/>
      <c r="C411" s="46"/>
      <c r="D411" s="46"/>
      <c r="E411" s="46"/>
      <c r="F411" s="46"/>
      <c r="G411" s="46"/>
      <c r="H411" s="46"/>
      <c r="I411" s="46"/>
    </row>
    <row r="412">
      <c r="A412" s="49"/>
      <c r="B412" s="46"/>
      <c r="C412" s="46"/>
      <c r="D412" s="46"/>
      <c r="E412" s="46"/>
      <c r="F412" s="46"/>
      <c r="G412" s="46"/>
      <c r="H412" s="46"/>
      <c r="I412" s="46"/>
    </row>
    <row r="413">
      <c r="A413" s="49"/>
      <c r="B413" s="46"/>
      <c r="C413" s="46"/>
      <c r="D413" s="46"/>
      <c r="E413" s="46"/>
      <c r="F413" s="46"/>
      <c r="G413" s="46"/>
      <c r="H413" s="46"/>
      <c r="I413" s="46"/>
    </row>
    <row r="414">
      <c r="A414" s="49"/>
      <c r="B414" s="46"/>
      <c r="C414" s="46"/>
      <c r="D414" s="46"/>
      <c r="E414" s="46"/>
      <c r="F414" s="46"/>
      <c r="G414" s="46"/>
      <c r="H414" s="46"/>
      <c r="I414" s="46"/>
    </row>
    <row r="415">
      <c r="A415" s="49"/>
      <c r="B415" s="46"/>
      <c r="C415" s="46"/>
      <c r="D415" s="46"/>
      <c r="E415" s="46"/>
      <c r="F415" s="46"/>
      <c r="G415" s="46"/>
      <c r="H415" s="46"/>
      <c r="I415" s="46"/>
    </row>
    <row r="416">
      <c r="A416" s="49"/>
      <c r="B416" s="46"/>
      <c r="C416" s="46"/>
      <c r="D416" s="46"/>
      <c r="E416" s="46"/>
      <c r="F416" s="46"/>
      <c r="G416" s="46"/>
      <c r="H416" s="46"/>
      <c r="I416" s="46"/>
    </row>
    <row r="417">
      <c r="A417" s="49"/>
      <c r="B417" s="46"/>
      <c r="C417" s="46"/>
      <c r="D417" s="46"/>
      <c r="E417" s="46"/>
      <c r="F417" s="46"/>
      <c r="G417" s="46"/>
      <c r="H417" s="46"/>
      <c r="I417" s="46"/>
    </row>
    <row r="418">
      <c r="A418" s="49"/>
      <c r="B418" s="46"/>
      <c r="C418" s="46"/>
      <c r="D418" s="46"/>
      <c r="E418" s="46"/>
      <c r="F418" s="46"/>
      <c r="G418" s="46"/>
      <c r="H418" s="46"/>
      <c r="I418" s="46"/>
    </row>
    <row r="419">
      <c r="A419" s="49"/>
      <c r="B419" s="46"/>
      <c r="C419" s="46"/>
      <c r="D419" s="46"/>
      <c r="E419" s="46"/>
      <c r="F419" s="46"/>
      <c r="G419" s="46"/>
      <c r="H419" s="46"/>
      <c r="I419" s="46"/>
    </row>
    <row r="420">
      <c r="A420" s="49"/>
      <c r="B420" s="46"/>
      <c r="C420" s="46"/>
      <c r="D420" s="46"/>
      <c r="E420" s="46"/>
      <c r="F420" s="46"/>
      <c r="G420" s="46"/>
      <c r="H420" s="46"/>
      <c r="I420" s="46"/>
    </row>
    <row r="421">
      <c r="A421" s="49"/>
      <c r="B421" s="46"/>
      <c r="C421" s="46"/>
      <c r="D421" s="46"/>
      <c r="E421" s="46"/>
      <c r="F421" s="46"/>
      <c r="G421" s="46"/>
      <c r="H421" s="46"/>
      <c r="I421" s="46"/>
    </row>
    <row r="422">
      <c r="A422" s="49"/>
      <c r="B422" s="46"/>
      <c r="C422" s="46"/>
      <c r="D422" s="46"/>
      <c r="E422" s="46"/>
      <c r="F422" s="46"/>
      <c r="G422" s="46"/>
      <c r="H422" s="46"/>
      <c r="I422" s="46"/>
    </row>
    <row r="423">
      <c r="A423" s="49"/>
      <c r="B423" s="46"/>
      <c r="C423" s="46"/>
      <c r="D423" s="46"/>
      <c r="E423" s="46"/>
      <c r="F423" s="46"/>
      <c r="G423" s="46"/>
      <c r="H423" s="46"/>
      <c r="I423" s="46"/>
    </row>
    <row r="424">
      <c r="A424" s="49"/>
      <c r="B424" s="46"/>
      <c r="C424" s="46"/>
      <c r="D424" s="46"/>
      <c r="E424" s="46"/>
      <c r="F424" s="46"/>
      <c r="G424" s="46"/>
      <c r="H424" s="46"/>
      <c r="I424" s="46"/>
    </row>
    <row r="425">
      <c r="A425" s="49"/>
      <c r="B425" s="46"/>
      <c r="C425" s="46"/>
      <c r="D425" s="46"/>
      <c r="E425" s="46"/>
      <c r="F425" s="46"/>
      <c r="G425" s="46"/>
      <c r="H425" s="46"/>
      <c r="I425" s="46"/>
    </row>
    <row r="426">
      <c r="A426" s="49"/>
      <c r="B426" s="46"/>
      <c r="C426" s="46"/>
      <c r="D426" s="46"/>
      <c r="E426" s="46"/>
      <c r="F426" s="46"/>
      <c r="G426" s="46"/>
      <c r="H426" s="46"/>
      <c r="I426" s="46"/>
    </row>
    <row r="427">
      <c r="A427" s="49"/>
      <c r="B427" s="46"/>
      <c r="C427" s="46"/>
      <c r="D427" s="46"/>
      <c r="E427" s="46"/>
      <c r="F427" s="46"/>
      <c r="G427" s="46"/>
      <c r="H427" s="46"/>
      <c r="I427" s="46"/>
    </row>
    <row r="428">
      <c r="A428" s="49"/>
      <c r="B428" s="46"/>
      <c r="C428" s="46"/>
      <c r="D428" s="46"/>
      <c r="E428" s="46"/>
      <c r="F428" s="46"/>
      <c r="G428" s="46"/>
      <c r="H428" s="46"/>
      <c r="I428" s="46"/>
    </row>
    <row r="429">
      <c r="A429" s="49"/>
      <c r="B429" s="46"/>
      <c r="C429" s="46"/>
      <c r="D429" s="46"/>
      <c r="E429" s="46"/>
      <c r="F429" s="46"/>
      <c r="G429" s="46"/>
      <c r="H429" s="46"/>
      <c r="I429" s="46"/>
    </row>
    <row r="430">
      <c r="A430" s="49"/>
      <c r="B430" s="46"/>
      <c r="C430" s="46"/>
      <c r="D430" s="46"/>
      <c r="E430" s="46"/>
      <c r="F430" s="46"/>
      <c r="G430" s="46"/>
      <c r="H430" s="46"/>
      <c r="I430" s="46"/>
    </row>
    <row r="431">
      <c r="A431" s="49"/>
      <c r="B431" s="46"/>
      <c r="C431" s="46"/>
      <c r="D431" s="46"/>
      <c r="E431" s="46"/>
      <c r="F431" s="46"/>
      <c r="G431" s="46"/>
      <c r="H431" s="46"/>
      <c r="I431" s="46"/>
    </row>
    <row r="432">
      <c r="A432" s="49"/>
      <c r="B432" s="46"/>
      <c r="C432" s="46"/>
      <c r="D432" s="46"/>
      <c r="E432" s="46"/>
      <c r="F432" s="46"/>
      <c r="G432" s="46"/>
      <c r="H432" s="46"/>
      <c r="I432" s="46"/>
    </row>
    <row r="433">
      <c r="A433" s="49"/>
      <c r="B433" s="46"/>
      <c r="C433" s="46"/>
      <c r="D433" s="46"/>
      <c r="E433" s="46"/>
      <c r="F433" s="46"/>
      <c r="G433" s="46"/>
      <c r="H433" s="46"/>
      <c r="I433" s="46"/>
    </row>
    <row r="434">
      <c r="A434" s="49"/>
      <c r="B434" s="46"/>
      <c r="C434" s="46"/>
      <c r="D434" s="46"/>
      <c r="E434" s="46"/>
      <c r="F434" s="46"/>
      <c r="G434" s="46"/>
      <c r="H434" s="46"/>
      <c r="I434" s="46"/>
    </row>
    <row r="435">
      <c r="A435" s="49"/>
      <c r="B435" s="46"/>
      <c r="C435" s="46"/>
      <c r="D435" s="46"/>
      <c r="E435" s="46"/>
      <c r="F435" s="46"/>
      <c r="G435" s="46"/>
      <c r="H435" s="46"/>
      <c r="I435" s="46"/>
    </row>
    <row r="436">
      <c r="A436" s="49"/>
      <c r="B436" s="46"/>
      <c r="C436" s="46"/>
      <c r="D436" s="46"/>
      <c r="E436" s="46"/>
      <c r="F436" s="46"/>
      <c r="G436" s="46"/>
      <c r="H436" s="46"/>
      <c r="I436" s="46"/>
    </row>
    <row r="437">
      <c r="A437" s="49"/>
      <c r="B437" s="46"/>
      <c r="C437" s="46"/>
      <c r="D437" s="46"/>
      <c r="E437" s="46"/>
      <c r="F437" s="46"/>
      <c r="G437" s="46"/>
      <c r="H437" s="46"/>
      <c r="I437" s="46"/>
    </row>
    <row r="438">
      <c r="A438" s="49"/>
      <c r="B438" s="46"/>
      <c r="C438" s="46"/>
      <c r="D438" s="46"/>
      <c r="E438" s="46"/>
      <c r="F438" s="46"/>
      <c r="G438" s="46"/>
      <c r="H438" s="46"/>
      <c r="I438" s="46"/>
    </row>
    <row r="439">
      <c r="A439" s="49"/>
      <c r="B439" s="46"/>
      <c r="C439" s="46"/>
      <c r="D439" s="46"/>
      <c r="E439" s="46"/>
      <c r="F439" s="46"/>
      <c r="G439" s="46"/>
      <c r="H439" s="46"/>
      <c r="I439" s="46"/>
    </row>
    <row r="440">
      <c r="A440" s="49"/>
      <c r="B440" s="46"/>
      <c r="C440" s="46"/>
      <c r="D440" s="46"/>
      <c r="E440" s="46"/>
      <c r="F440" s="46"/>
      <c r="G440" s="46"/>
      <c r="H440" s="46"/>
      <c r="I440" s="46"/>
    </row>
    <row r="441">
      <c r="A441" s="49"/>
      <c r="B441" s="46"/>
      <c r="C441" s="46"/>
      <c r="D441" s="46"/>
      <c r="E441" s="46"/>
      <c r="F441" s="46"/>
      <c r="G441" s="46"/>
      <c r="H441" s="46"/>
      <c r="I441" s="46"/>
    </row>
    <row r="442">
      <c r="A442" s="49"/>
      <c r="B442" s="46"/>
      <c r="C442" s="46"/>
      <c r="D442" s="46"/>
      <c r="E442" s="46"/>
      <c r="F442" s="46"/>
      <c r="G442" s="46"/>
      <c r="H442" s="46"/>
      <c r="I442" s="46"/>
    </row>
    <row r="443">
      <c r="A443" s="49"/>
      <c r="B443" s="46"/>
      <c r="C443" s="46"/>
      <c r="D443" s="46"/>
      <c r="E443" s="46"/>
      <c r="F443" s="46"/>
      <c r="G443" s="46"/>
      <c r="H443" s="46"/>
      <c r="I443" s="46"/>
    </row>
    <row r="444">
      <c r="A444" s="49"/>
      <c r="B444" s="46"/>
      <c r="C444" s="46"/>
      <c r="D444" s="46"/>
      <c r="E444" s="46"/>
      <c r="F444" s="46"/>
      <c r="G444" s="46"/>
      <c r="H444" s="46"/>
      <c r="I444" s="46"/>
    </row>
    <row r="445">
      <c r="A445" s="49"/>
      <c r="B445" s="46"/>
      <c r="C445" s="46"/>
      <c r="D445" s="46"/>
      <c r="E445" s="46"/>
      <c r="F445" s="46"/>
      <c r="G445" s="46"/>
      <c r="H445" s="46"/>
      <c r="I445" s="46"/>
    </row>
    <row r="446">
      <c r="A446" s="49"/>
      <c r="B446" s="46"/>
      <c r="C446" s="46"/>
      <c r="D446" s="46"/>
      <c r="E446" s="46"/>
      <c r="F446" s="46"/>
      <c r="G446" s="46"/>
      <c r="H446" s="46"/>
      <c r="I446" s="46"/>
    </row>
    <row r="447">
      <c r="A447" s="49"/>
      <c r="B447" s="46"/>
      <c r="C447" s="46"/>
      <c r="D447" s="46"/>
      <c r="E447" s="46"/>
      <c r="F447" s="46"/>
      <c r="G447" s="46"/>
      <c r="H447" s="46"/>
      <c r="I447" s="46"/>
    </row>
    <row r="448">
      <c r="A448" s="49"/>
      <c r="B448" s="46"/>
      <c r="C448" s="46"/>
      <c r="D448" s="46"/>
      <c r="E448" s="46"/>
      <c r="F448" s="46"/>
      <c r="G448" s="46"/>
      <c r="H448" s="46"/>
      <c r="I448" s="46"/>
    </row>
    <row r="449">
      <c r="A449" s="49"/>
      <c r="B449" s="46"/>
      <c r="C449" s="46"/>
      <c r="D449" s="46"/>
      <c r="E449" s="46"/>
      <c r="F449" s="46"/>
      <c r="G449" s="46"/>
      <c r="H449" s="46"/>
      <c r="I449" s="46"/>
    </row>
    <row r="450">
      <c r="A450" s="49"/>
      <c r="B450" s="46"/>
      <c r="C450" s="46"/>
      <c r="D450" s="46"/>
      <c r="E450" s="46"/>
      <c r="F450" s="46"/>
      <c r="G450" s="46"/>
      <c r="H450" s="46"/>
      <c r="I450" s="46"/>
    </row>
    <row r="451">
      <c r="A451" s="49"/>
      <c r="B451" s="46"/>
      <c r="C451" s="46"/>
      <c r="D451" s="46"/>
      <c r="E451" s="46"/>
      <c r="F451" s="46"/>
      <c r="G451" s="46"/>
      <c r="H451" s="46"/>
      <c r="I451" s="46"/>
    </row>
    <row r="452">
      <c r="A452" s="49"/>
      <c r="B452" s="46"/>
      <c r="C452" s="46"/>
      <c r="D452" s="46"/>
      <c r="E452" s="46"/>
      <c r="F452" s="46"/>
      <c r="G452" s="46"/>
      <c r="H452" s="46"/>
      <c r="I452" s="46"/>
    </row>
    <row r="453">
      <c r="A453" s="49"/>
      <c r="B453" s="46"/>
      <c r="C453" s="46"/>
      <c r="D453" s="46"/>
      <c r="E453" s="46"/>
      <c r="F453" s="46"/>
      <c r="G453" s="46"/>
      <c r="H453" s="46"/>
      <c r="I453" s="46"/>
    </row>
    <row r="454">
      <c r="A454" s="49"/>
      <c r="B454" s="46"/>
      <c r="C454" s="46"/>
      <c r="D454" s="46"/>
      <c r="E454" s="46"/>
      <c r="F454" s="46"/>
      <c r="G454" s="46"/>
      <c r="H454" s="46"/>
      <c r="I454" s="46"/>
    </row>
    <row r="455">
      <c r="A455" s="49"/>
      <c r="B455" s="46"/>
      <c r="C455" s="46"/>
      <c r="D455" s="46"/>
      <c r="E455" s="46"/>
      <c r="F455" s="46"/>
      <c r="G455" s="46"/>
      <c r="H455" s="46"/>
      <c r="I455" s="46"/>
    </row>
    <row r="456">
      <c r="A456" s="49"/>
      <c r="B456" s="46"/>
      <c r="C456" s="46"/>
      <c r="D456" s="46"/>
      <c r="E456" s="46"/>
      <c r="F456" s="46"/>
      <c r="G456" s="46"/>
      <c r="H456" s="46"/>
      <c r="I456" s="46"/>
    </row>
    <row r="457">
      <c r="A457" s="49"/>
      <c r="B457" s="46"/>
      <c r="C457" s="46"/>
      <c r="D457" s="46"/>
      <c r="E457" s="46"/>
      <c r="F457" s="46"/>
      <c r="G457" s="46"/>
      <c r="H457" s="46"/>
      <c r="I457" s="46"/>
    </row>
    <row r="458">
      <c r="A458" s="49"/>
      <c r="B458" s="46"/>
      <c r="C458" s="46"/>
      <c r="D458" s="46"/>
      <c r="E458" s="46"/>
      <c r="F458" s="46"/>
      <c r="G458" s="46"/>
      <c r="H458" s="46"/>
      <c r="I458" s="46"/>
    </row>
    <row r="459">
      <c r="A459" s="49"/>
      <c r="B459" s="46"/>
      <c r="C459" s="46"/>
      <c r="D459" s="46"/>
      <c r="E459" s="46"/>
      <c r="F459" s="46"/>
      <c r="G459" s="46"/>
      <c r="H459" s="46"/>
      <c r="I459" s="46"/>
    </row>
    <row r="460">
      <c r="A460" s="49"/>
      <c r="B460" s="46"/>
      <c r="C460" s="46"/>
      <c r="D460" s="46"/>
      <c r="E460" s="46"/>
      <c r="F460" s="46"/>
      <c r="G460" s="46"/>
      <c r="H460" s="46"/>
      <c r="I460" s="46"/>
    </row>
    <row r="461">
      <c r="A461" s="49"/>
      <c r="B461" s="46"/>
      <c r="C461" s="46"/>
      <c r="D461" s="46"/>
      <c r="E461" s="46"/>
      <c r="F461" s="46"/>
      <c r="G461" s="46"/>
      <c r="H461" s="46"/>
      <c r="I461" s="46"/>
    </row>
    <row r="462">
      <c r="A462" s="49"/>
      <c r="B462" s="46"/>
      <c r="C462" s="46"/>
      <c r="D462" s="46"/>
      <c r="E462" s="46"/>
      <c r="F462" s="46"/>
      <c r="G462" s="46"/>
      <c r="H462" s="46"/>
      <c r="I462" s="46"/>
    </row>
    <row r="463">
      <c r="A463" s="49"/>
      <c r="B463" s="46"/>
      <c r="C463" s="46"/>
      <c r="D463" s="46"/>
      <c r="E463" s="46"/>
      <c r="F463" s="46"/>
      <c r="G463" s="46"/>
      <c r="H463" s="46"/>
      <c r="I463" s="46"/>
    </row>
    <row r="464">
      <c r="A464" s="49"/>
      <c r="B464" s="46"/>
      <c r="C464" s="46"/>
      <c r="D464" s="46"/>
      <c r="E464" s="46"/>
      <c r="F464" s="46"/>
      <c r="G464" s="46"/>
      <c r="H464" s="46"/>
      <c r="I464" s="46"/>
    </row>
    <row r="465">
      <c r="A465" s="49"/>
      <c r="B465" s="46"/>
      <c r="C465" s="46"/>
      <c r="D465" s="46"/>
      <c r="E465" s="46"/>
      <c r="F465" s="46"/>
      <c r="G465" s="46"/>
      <c r="H465" s="46"/>
      <c r="I465" s="46"/>
    </row>
    <row r="466">
      <c r="A466" s="49"/>
      <c r="B466" s="46"/>
      <c r="C466" s="46"/>
      <c r="D466" s="46"/>
      <c r="E466" s="46"/>
      <c r="F466" s="46"/>
      <c r="G466" s="46"/>
      <c r="H466" s="46"/>
      <c r="I466" s="46"/>
    </row>
    <row r="467">
      <c r="A467" s="49"/>
      <c r="B467" s="46"/>
      <c r="C467" s="46"/>
      <c r="D467" s="46"/>
      <c r="E467" s="46"/>
      <c r="F467" s="46"/>
      <c r="G467" s="46"/>
      <c r="H467" s="46"/>
      <c r="I467" s="46"/>
    </row>
    <row r="468">
      <c r="A468" s="49"/>
      <c r="B468" s="46"/>
      <c r="C468" s="46"/>
      <c r="D468" s="46"/>
      <c r="E468" s="46"/>
      <c r="F468" s="46"/>
      <c r="G468" s="46"/>
      <c r="H468" s="46"/>
      <c r="I468" s="46"/>
    </row>
    <row r="469">
      <c r="A469" s="49"/>
      <c r="B469" s="46"/>
      <c r="C469" s="46"/>
      <c r="D469" s="46"/>
      <c r="E469" s="46"/>
      <c r="F469" s="46"/>
      <c r="G469" s="46"/>
      <c r="H469" s="46"/>
      <c r="I469" s="46"/>
    </row>
    <row r="470">
      <c r="A470" s="49"/>
      <c r="B470" s="46"/>
      <c r="C470" s="46"/>
      <c r="D470" s="46"/>
      <c r="E470" s="46"/>
      <c r="F470" s="46"/>
      <c r="G470" s="46"/>
      <c r="H470" s="46"/>
      <c r="I470" s="46"/>
    </row>
    <row r="471">
      <c r="A471" s="49"/>
      <c r="B471" s="46"/>
      <c r="C471" s="46"/>
      <c r="D471" s="46"/>
      <c r="E471" s="46"/>
      <c r="F471" s="46"/>
      <c r="G471" s="46"/>
      <c r="H471" s="46"/>
      <c r="I471" s="46"/>
    </row>
    <row r="472">
      <c r="A472" s="49"/>
      <c r="B472" s="46"/>
      <c r="C472" s="46"/>
      <c r="D472" s="46"/>
      <c r="E472" s="46"/>
      <c r="F472" s="46"/>
      <c r="G472" s="46"/>
      <c r="H472" s="46"/>
      <c r="I472" s="46"/>
    </row>
    <row r="473">
      <c r="A473" s="49"/>
      <c r="B473" s="46"/>
      <c r="C473" s="46"/>
      <c r="D473" s="46"/>
      <c r="E473" s="46"/>
      <c r="F473" s="46"/>
      <c r="G473" s="46"/>
      <c r="H473" s="46"/>
      <c r="I473" s="46"/>
    </row>
    <row r="474">
      <c r="A474" s="49"/>
      <c r="B474" s="46"/>
      <c r="C474" s="46"/>
      <c r="D474" s="46"/>
      <c r="E474" s="46"/>
      <c r="F474" s="46"/>
      <c r="G474" s="46"/>
      <c r="H474" s="46"/>
      <c r="I474" s="46"/>
    </row>
    <row r="475">
      <c r="A475" s="49"/>
      <c r="B475" s="46"/>
      <c r="C475" s="46"/>
      <c r="D475" s="46"/>
      <c r="E475" s="46"/>
      <c r="F475" s="46"/>
      <c r="G475" s="46"/>
      <c r="H475" s="46"/>
      <c r="I475" s="46"/>
    </row>
    <row r="476">
      <c r="A476" s="49"/>
      <c r="B476" s="46"/>
      <c r="C476" s="46"/>
      <c r="D476" s="46"/>
      <c r="E476" s="46"/>
      <c r="F476" s="46"/>
      <c r="G476" s="46"/>
      <c r="H476" s="46"/>
      <c r="I476" s="46"/>
    </row>
    <row r="477">
      <c r="A477" s="49"/>
      <c r="B477" s="46"/>
      <c r="C477" s="46"/>
      <c r="D477" s="46"/>
      <c r="E477" s="46"/>
      <c r="F477" s="46"/>
      <c r="G477" s="46"/>
      <c r="H477" s="46"/>
      <c r="I477" s="46"/>
    </row>
    <row r="478">
      <c r="A478" s="49"/>
      <c r="B478" s="46"/>
      <c r="C478" s="46"/>
      <c r="D478" s="46"/>
      <c r="E478" s="46"/>
      <c r="F478" s="46"/>
      <c r="G478" s="46"/>
      <c r="H478" s="46"/>
      <c r="I478" s="46"/>
    </row>
    <row r="479">
      <c r="A479" s="49"/>
      <c r="B479" s="46"/>
      <c r="C479" s="46"/>
      <c r="D479" s="46"/>
      <c r="E479" s="46"/>
      <c r="F479" s="46"/>
      <c r="G479" s="46"/>
      <c r="H479" s="46"/>
      <c r="I479" s="46"/>
    </row>
    <row r="480">
      <c r="A480" s="49"/>
      <c r="B480" s="46"/>
      <c r="C480" s="46"/>
      <c r="D480" s="46"/>
      <c r="E480" s="46"/>
      <c r="F480" s="46"/>
      <c r="G480" s="46"/>
      <c r="H480" s="46"/>
      <c r="I480" s="46"/>
    </row>
    <row r="481">
      <c r="A481" s="49"/>
      <c r="B481" s="46"/>
      <c r="C481" s="46"/>
      <c r="D481" s="46"/>
      <c r="E481" s="46"/>
      <c r="F481" s="46"/>
      <c r="G481" s="46"/>
      <c r="H481" s="46"/>
      <c r="I481" s="46"/>
    </row>
    <row r="482">
      <c r="A482" s="49"/>
      <c r="B482" s="46"/>
      <c r="C482" s="46"/>
      <c r="D482" s="46"/>
      <c r="E482" s="46"/>
      <c r="F482" s="46"/>
      <c r="G482" s="46"/>
      <c r="H482" s="46"/>
      <c r="I482" s="46"/>
    </row>
    <row r="483">
      <c r="A483" s="49"/>
      <c r="B483" s="46"/>
      <c r="C483" s="46"/>
      <c r="D483" s="46"/>
      <c r="E483" s="46"/>
      <c r="F483" s="46"/>
      <c r="G483" s="46"/>
      <c r="H483" s="46"/>
      <c r="I483" s="46"/>
    </row>
    <row r="484">
      <c r="A484" s="49"/>
      <c r="B484" s="46"/>
      <c r="C484" s="46"/>
      <c r="D484" s="46"/>
      <c r="E484" s="46"/>
      <c r="F484" s="46"/>
      <c r="G484" s="46"/>
      <c r="H484" s="46"/>
      <c r="I484" s="46"/>
    </row>
    <row r="485">
      <c r="A485" s="49"/>
      <c r="B485" s="46"/>
      <c r="C485" s="46"/>
      <c r="D485" s="46"/>
      <c r="E485" s="46"/>
      <c r="F485" s="46"/>
      <c r="G485" s="46"/>
      <c r="H485" s="46"/>
      <c r="I485" s="46"/>
    </row>
    <row r="486">
      <c r="A486" s="49"/>
      <c r="B486" s="46"/>
      <c r="C486" s="46"/>
      <c r="D486" s="46"/>
      <c r="E486" s="46"/>
      <c r="F486" s="46"/>
      <c r="G486" s="46"/>
      <c r="H486" s="46"/>
      <c r="I486" s="46"/>
    </row>
    <row r="487">
      <c r="A487" s="49"/>
      <c r="B487" s="46"/>
      <c r="C487" s="46"/>
      <c r="D487" s="46"/>
      <c r="E487" s="46"/>
      <c r="F487" s="46"/>
      <c r="G487" s="46"/>
      <c r="H487" s="46"/>
      <c r="I487" s="46"/>
    </row>
    <row r="488">
      <c r="A488" s="49"/>
      <c r="B488" s="46"/>
      <c r="C488" s="46"/>
      <c r="D488" s="46"/>
      <c r="E488" s="46"/>
      <c r="F488" s="46"/>
      <c r="G488" s="46"/>
      <c r="H488" s="46"/>
      <c r="I488" s="46"/>
    </row>
    <row r="489">
      <c r="A489" s="49"/>
      <c r="B489" s="46"/>
      <c r="C489" s="46"/>
      <c r="D489" s="46"/>
      <c r="E489" s="46"/>
      <c r="F489" s="46"/>
      <c r="G489" s="46"/>
      <c r="H489" s="46"/>
      <c r="I489" s="46"/>
    </row>
    <row r="490">
      <c r="A490" s="49"/>
      <c r="B490" s="46"/>
      <c r="C490" s="46"/>
      <c r="D490" s="46"/>
      <c r="E490" s="46"/>
      <c r="F490" s="46"/>
      <c r="G490" s="46"/>
      <c r="H490" s="46"/>
      <c r="I490" s="46"/>
    </row>
    <row r="491">
      <c r="A491" s="49"/>
      <c r="B491" s="46"/>
      <c r="C491" s="46"/>
      <c r="D491" s="46"/>
      <c r="E491" s="46"/>
      <c r="F491" s="46"/>
      <c r="G491" s="46"/>
      <c r="H491" s="46"/>
      <c r="I491" s="46"/>
    </row>
    <row r="492">
      <c r="A492" s="49"/>
      <c r="B492" s="46"/>
      <c r="C492" s="46"/>
      <c r="D492" s="46"/>
      <c r="E492" s="46"/>
      <c r="F492" s="46"/>
      <c r="G492" s="46"/>
      <c r="H492" s="46"/>
      <c r="I492" s="46"/>
    </row>
    <row r="493">
      <c r="A493" s="49"/>
      <c r="B493" s="46"/>
      <c r="C493" s="46"/>
      <c r="D493" s="46"/>
      <c r="E493" s="46"/>
      <c r="F493" s="46"/>
      <c r="G493" s="46"/>
      <c r="H493" s="46"/>
      <c r="I493" s="46"/>
    </row>
    <row r="494">
      <c r="A494" s="49"/>
      <c r="B494" s="46"/>
      <c r="C494" s="46"/>
      <c r="D494" s="46"/>
      <c r="E494" s="46"/>
      <c r="F494" s="46"/>
      <c r="G494" s="46"/>
      <c r="H494" s="46"/>
      <c r="I494" s="46"/>
    </row>
    <row r="495">
      <c r="A495" s="49"/>
      <c r="B495" s="46"/>
      <c r="C495" s="46"/>
      <c r="D495" s="46"/>
      <c r="E495" s="46"/>
      <c r="F495" s="46"/>
      <c r="G495" s="46"/>
      <c r="H495" s="46"/>
      <c r="I495" s="46"/>
    </row>
    <row r="496">
      <c r="A496" s="49"/>
      <c r="B496" s="46"/>
      <c r="C496" s="46"/>
      <c r="D496" s="46"/>
      <c r="E496" s="46"/>
      <c r="F496" s="46"/>
      <c r="G496" s="46"/>
      <c r="H496" s="46"/>
      <c r="I496" s="46"/>
    </row>
    <row r="497">
      <c r="A497" s="49"/>
      <c r="B497" s="46"/>
      <c r="C497" s="46"/>
      <c r="D497" s="46"/>
      <c r="E497" s="46"/>
      <c r="F497" s="46"/>
      <c r="G497" s="46"/>
      <c r="H497" s="46"/>
      <c r="I497" s="46"/>
    </row>
    <row r="498">
      <c r="A498" s="49"/>
      <c r="B498" s="46"/>
      <c r="C498" s="46"/>
      <c r="D498" s="46"/>
      <c r="E498" s="46"/>
      <c r="F498" s="46"/>
      <c r="G498" s="46"/>
      <c r="H498" s="46"/>
      <c r="I498" s="46"/>
    </row>
    <row r="499">
      <c r="A499" s="49"/>
      <c r="B499" s="46"/>
      <c r="C499" s="46"/>
      <c r="D499" s="46"/>
      <c r="E499" s="46"/>
      <c r="F499" s="46"/>
      <c r="G499" s="46"/>
      <c r="H499" s="46"/>
      <c r="I499" s="46"/>
    </row>
    <row r="500">
      <c r="A500" s="49"/>
      <c r="B500" s="46"/>
      <c r="C500" s="46"/>
      <c r="D500" s="46"/>
      <c r="E500" s="46"/>
      <c r="F500" s="46"/>
      <c r="G500" s="46"/>
      <c r="H500" s="46"/>
      <c r="I500" s="46"/>
    </row>
    <row r="501">
      <c r="A501" s="49"/>
      <c r="B501" s="46"/>
      <c r="C501" s="46"/>
      <c r="D501" s="46"/>
      <c r="E501" s="46"/>
      <c r="F501" s="46"/>
      <c r="G501" s="46"/>
      <c r="H501" s="46"/>
      <c r="I501" s="46"/>
    </row>
    <row r="502">
      <c r="A502" s="49"/>
      <c r="B502" s="46"/>
      <c r="C502" s="46"/>
      <c r="D502" s="46"/>
      <c r="E502" s="46"/>
      <c r="F502" s="46"/>
      <c r="G502" s="46"/>
      <c r="H502" s="46"/>
      <c r="I502" s="46"/>
    </row>
    <row r="503">
      <c r="A503" s="49"/>
      <c r="B503" s="46"/>
      <c r="C503" s="46"/>
      <c r="D503" s="46"/>
      <c r="E503" s="46"/>
      <c r="F503" s="46"/>
      <c r="G503" s="46"/>
      <c r="H503" s="46"/>
      <c r="I503" s="46"/>
    </row>
    <row r="504">
      <c r="A504" s="49"/>
      <c r="B504" s="46"/>
      <c r="C504" s="46"/>
      <c r="D504" s="46"/>
      <c r="E504" s="46"/>
      <c r="F504" s="46"/>
      <c r="G504" s="46"/>
      <c r="H504" s="46"/>
      <c r="I504" s="46"/>
    </row>
    <row r="505">
      <c r="A505" s="49"/>
      <c r="B505" s="46"/>
      <c r="C505" s="46"/>
      <c r="D505" s="46"/>
      <c r="E505" s="46"/>
      <c r="F505" s="46"/>
      <c r="G505" s="46"/>
      <c r="H505" s="46"/>
      <c r="I505" s="46"/>
    </row>
    <row r="506">
      <c r="A506" s="49"/>
      <c r="B506" s="46"/>
      <c r="C506" s="46"/>
      <c r="D506" s="46"/>
      <c r="E506" s="46"/>
      <c r="F506" s="46"/>
      <c r="G506" s="46"/>
      <c r="H506" s="46"/>
      <c r="I506" s="46"/>
    </row>
    <row r="507">
      <c r="A507" s="49"/>
      <c r="B507" s="46"/>
      <c r="C507" s="46"/>
      <c r="D507" s="46"/>
      <c r="E507" s="46"/>
      <c r="F507" s="46"/>
      <c r="G507" s="46"/>
      <c r="H507" s="46"/>
      <c r="I507" s="46"/>
    </row>
    <row r="508">
      <c r="A508" s="49"/>
      <c r="B508" s="46"/>
      <c r="C508" s="46"/>
      <c r="D508" s="46"/>
      <c r="E508" s="46"/>
      <c r="F508" s="46"/>
      <c r="G508" s="46"/>
      <c r="H508" s="46"/>
      <c r="I508" s="46"/>
    </row>
    <row r="509">
      <c r="A509" s="49"/>
      <c r="B509" s="46"/>
      <c r="C509" s="46"/>
      <c r="D509" s="46"/>
      <c r="E509" s="46"/>
      <c r="F509" s="46"/>
      <c r="G509" s="46"/>
      <c r="H509" s="46"/>
      <c r="I509" s="46"/>
    </row>
    <row r="510">
      <c r="A510" s="49"/>
      <c r="B510" s="46"/>
      <c r="C510" s="46"/>
      <c r="D510" s="46"/>
      <c r="E510" s="46"/>
      <c r="F510" s="46"/>
      <c r="G510" s="46"/>
      <c r="H510" s="46"/>
      <c r="I510" s="46"/>
    </row>
    <row r="511">
      <c r="A511" s="49"/>
      <c r="B511" s="46"/>
      <c r="C511" s="46"/>
      <c r="D511" s="46"/>
      <c r="E511" s="46"/>
      <c r="F511" s="46"/>
      <c r="G511" s="46"/>
      <c r="H511" s="46"/>
      <c r="I511" s="46"/>
    </row>
    <row r="512">
      <c r="A512" s="49"/>
      <c r="B512" s="46"/>
      <c r="C512" s="46"/>
      <c r="D512" s="46"/>
      <c r="E512" s="46"/>
      <c r="F512" s="46"/>
      <c r="G512" s="46"/>
      <c r="H512" s="46"/>
      <c r="I512" s="46"/>
    </row>
    <row r="513">
      <c r="A513" s="49"/>
      <c r="B513" s="46"/>
      <c r="C513" s="46"/>
      <c r="D513" s="46"/>
      <c r="E513" s="46"/>
      <c r="F513" s="46"/>
      <c r="G513" s="46"/>
      <c r="H513" s="46"/>
      <c r="I513" s="46"/>
    </row>
    <row r="514">
      <c r="A514" s="49"/>
      <c r="B514" s="46"/>
      <c r="C514" s="46"/>
      <c r="D514" s="46"/>
      <c r="E514" s="46"/>
      <c r="F514" s="46"/>
      <c r="G514" s="46"/>
      <c r="H514" s="46"/>
      <c r="I514" s="46"/>
    </row>
    <row r="515">
      <c r="A515" s="49"/>
      <c r="B515" s="46"/>
      <c r="C515" s="46"/>
      <c r="D515" s="46"/>
      <c r="E515" s="46"/>
      <c r="F515" s="46"/>
      <c r="G515" s="46"/>
      <c r="H515" s="46"/>
      <c r="I515" s="46"/>
    </row>
    <row r="516">
      <c r="A516" s="49"/>
      <c r="B516" s="46"/>
      <c r="C516" s="46"/>
      <c r="D516" s="46"/>
      <c r="E516" s="46"/>
      <c r="F516" s="46"/>
      <c r="G516" s="46"/>
      <c r="H516" s="46"/>
      <c r="I516" s="46"/>
    </row>
    <row r="517">
      <c r="A517" s="49"/>
      <c r="B517" s="46"/>
      <c r="C517" s="46"/>
      <c r="D517" s="46"/>
      <c r="E517" s="46"/>
      <c r="F517" s="46"/>
      <c r="G517" s="46"/>
      <c r="H517" s="46"/>
      <c r="I517" s="46"/>
    </row>
    <row r="518">
      <c r="A518" s="49"/>
      <c r="B518" s="46"/>
      <c r="C518" s="46"/>
      <c r="D518" s="46"/>
      <c r="E518" s="46"/>
      <c r="F518" s="46"/>
      <c r="G518" s="46"/>
      <c r="H518" s="46"/>
      <c r="I518" s="46"/>
    </row>
    <row r="519">
      <c r="A519" s="49"/>
      <c r="B519" s="46"/>
      <c r="C519" s="46"/>
      <c r="D519" s="46"/>
      <c r="E519" s="46"/>
      <c r="F519" s="46"/>
      <c r="G519" s="46"/>
      <c r="H519" s="46"/>
      <c r="I519" s="46"/>
    </row>
    <row r="520">
      <c r="A520" s="49"/>
      <c r="B520" s="46"/>
      <c r="C520" s="46"/>
      <c r="D520" s="46"/>
      <c r="E520" s="46"/>
      <c r="F520" s="46"/>
      <c r="G520" s="46"/>
      <c r="H520" s="46"/>
      <c r="I520" s="46"/>
    </row>
    <row r="521">
      <c r="A521" s="49"/>
      <c r="B521" s="46"/>
      <c r="C521" s="46"/>
      <c r="D521" s="46"/>
      <c r="E521" s="46"/>
      <c r="F521" s="46"/>
      <c r="G521" s="46"/>
      <c r="H521" s="46"/>
      <c r="I521" s="46"/>
    </row>
    <row r="522">
      <c r="A522" s="49"/>
      <c r="B522" s="46"/>
      <c r="C522" s="46"/>
      <c r="D522" s="46"/>
      <c r="E522" s="46"/>
      <c r="F522" s="46"/>
      <c r="G522" s="46"/>
      <c r="H522" s="46"/>
      <c r="I522" s="46"/>
    </row>
    <row r="523">
      <c r="A523" s="49"/>
      <c r="B523" s="46"/>
      <c r="C523" s="46"/>
      <c r="D523" s="46"/>
      <c r="E523" s="46"/>
      <c r="F523" s="46"/>
      <c r="G523" s="46"/>
      <c r="H523" s="46"/>
      <c r="I523" s="46"/>
    </row>
    <row r="524">
      <c r="A524" s="49"/>
      <c r="B524" s="46"/>
      <c r="C524" s="46"/>
      <c r="D524" s="46"/>
      <c r="E524" s="46"/>
      <c r="F524" s="46"/>
      <c r="G524" s="46"/>
      <c r="H524" s="46"/>
      <c r="I524" s="46"/>
    </row>
    <row r="525">
      <c r="A525" s="49"/>
      <c r="B525" s="46"/>
      <c r="C525" s="46"/>
      <c r="D525" s="46"/>
      <c r="E525" s="46"/>
      <c r="F525" s="46"/>
      <c r="G525" s="46"/>
      <c r="H525" s="46"/>
      <c r="I525" s="46"/>
    </row>
    <row r="526">
      <c r="A526" s="49"/>
      <c r="B526" s="46"/>
      <c r="C526" s="46"/>
      <c r="D526" s="46"/>
      <c r="E526" s="46"/>
      <c r="F526" s="46"/>
      <c r="G526" s="46"/>
      <c r="H526" s="46"/>
      <c r="I526" s="46"/>
    </row>
    <row r="527">
      <c r="A527" s="49"/>
      <c r="B527" s="46"/>
      <c r="C527" s="46"/>
      <c r="D527" s="46"/>
      <c r="E527" s="46"/>
      <c r="F527" s="46"/>
      <c r="G527" s="46"/>
      <c r="H527" s="46"/>
      <c r="I527" s="46"/>
    </row>
    <row r="528">
      <c r="A528" s="49"/>
      <c r="B528" s="46"/>
      <c r="C528" s="46"/>
      <c r="D528" s="46"/>
      <c r="E528" s="46"/>
      <c r="F528" s="46"/>
      <c r="G528" s="46"/>
      <c r="H528" s="46"/>
      <c r="I528" s="46"/>
    </row>
    <row r="529">
      <c r="A529" s="49"/>
      <c r="B529" s="46"/>
      <c r="C529" s="46"/>
      <c r="D529" s="46"/>
      <c r="E529" s="46"/>
      <c r="F529" s="46"/>
      <c r="G529" s="46"/>
      <c r="H529" s="46"/>
      <c r="I529" s="46"/>
    </row>
    <row r="530">
      <c r="A530" s="49"/>
      <c r="B530" s="46"/>
      <c r="C530" s="46"/>
      <c r="D530" s="46"/>
      <c r="E530" s="46"/>
      <c r="F530" s="46"/>
      <c r="G530" s="46"/>
      <c r="H530" s="46"/>
      <c r="I530" s="46"/>
    </row>
    <row r="531">
      <c r="A531" s="49"/>
      <c r="B531" s="46"/>
      <c r="C531" s="46"/>
      <c r="D531" s="46"/>
      <c r="E531" s="46"/>
      <c r="F531" s="46"/>
      <c r="G531" s="46"/>
      <c r="H531" s="46"/>
      <c r="I531" s="46"/>
    </row>
    <row r="532">
      <c r="A532" s="49"/>
      <c r="B532" s="46"/>
      <c r="C532" s="46"/>
      <c r="D532" s="46"/>
      <c r="E532" s="46"/>
      <c r="F532" s="46"/>
      <c r="G532" s="46"/>
      <c r="H532" s="46"/>
      <c r="I532" s="46"/>
    </row>
    <row r="533">
      <c r="A533" s="49"/>
      <c r="B533" s="46"/>
      <c r="C533" s="46"/>
      <c r="D533" s="46"/>
      <c r="E533" s="46"/>
      <c r="F533" s="46"/>
      <c r="G533" s="46"/>
      <c r="H533" s="46"/>
      <c r="I533" s="46"/>
    </row>
    <row r="534">
      <c r="A534" s="49"/>
      <c r="B534" s="46"/>
      <c r="C534" s="46"/>
      <c r="D534" s="46"/>
      <c r="E534" s="46"/>
      <c r="F534" s="46"/>
      <c r="G534" s="46"/>
      <c r="H534" s="46"/>
      <c r="I534" s="46"/>
    </row>
    <row r="535">
      <c r="A535" s="49"/>
      <c r="B535" s="46"/>
      <c r="C535" s="46"/>
      <c r="D535" s="46"/>
      <c r="E535" s="46"/>
      <c r="F535" s="46"/>
      <c r="G535" s="46"/>
      <c r="H535" s="46"/>
      <c r="I535" s="46"/>
    </row>
    <row r="536">
      <c r="A536" s="49"/>
      <c r="B536" s="46"/>
      <c r="C536" s="46"/>
      <c r="D536" s="46"/>
      <c r="E536" s="46"/>
      <c r="F536" s="46"/>
      <c r="G536" s="46"/>
      <c r="H536" s="46"/>
      <c r="I536" s="46"/>
    </row>
    <row r="537">
      <c r="A537" s="49"/>
      <c r="B537" s="46"/>
      <c r="C537" s="46"/>
      <c r="D537" s="46"/>
      <c r="E537" s="46"/>
      <c r="F537" s="46"/>
      <c r="G537" s="46"/>
      <c r="H537" s="46"/>
      <c r="I537" s="46"/>
    </row>
    <row r="538">
      <c r="A538" s="49"/>
      <c r="B538" s="46"/>
      <c r="C538" s="46"/>
      <c r="D538" s="46"/>
      <c r="E538" s="46"/>
      <c r="F538" s="46"/>
      <c r="G538" s="46"/>
      <c r="H538" s="46"/>
      <c r="I538" s="46"/>
    </row>
    <row r="539">
      <c r="A539" s="49"/>
      <c r="B539" s="46"/>
      <c r="C539" s="46"/>
      <c r="D539" s="46"/>
      <c r="E539" s="46"/>
      <c r="F539" s="46"/>
      <c r="G539" s="46"/>
      <c r="H539" s="46"/>
      <c r="I539" s="46"/>
    </row>
    <row r="540">
      <c r="A540" s="49"/>
      <c r="B540" s="46"/>
      <c r="C540" s="46"/>
      <c r="D540" s="46"/>
      <c r="E540" s="46"/>
      <c r="F540" s="46"/>
      <c r="G540" s="46"/>
      <c r="H540" s="46"/>
      <c r="I540" s="46"/>
    </row>
    <row r="541">
      <c r="A541" s="49"/>
      <c r="B541" s="46"/>
      <c r="C541" s="46"/>
      <c r="D541" s="46"/>
      <c r="E541" s="46"/>
      <c r="F541" s="46"/>
      <c r="G541" s="46"/>
      <c r="H541" s="46"/>
      <c r="I541" s="46"/>
    </row>
    <row r="542">
      <c r="A542" s="49"/>
      <c r="B542" s="46"/>
      <c r="C542" s="46"/>
      <c r="D542" s="46"/>
      <c r="E542" s="46"/>
      <c r="F542" s="46"/>
      <c r="G542" s="46"/>
      <c r="H542" s="46"/>
      <c r="I542" s="46"/>
    </row>
    <row r="543">
      <c r="A543" s="49"/>
      <c r="B543" s="46"/>
      <c r="C543" s="46"/>
      <c r="D543" s="46"/>
      <c r="E543" s="46"/>
      <c r="F543" s="46"/>
      <c r="G543" s="46"/>
      <c r="H543" s="46"/>
      <c r="I543" s="46"/>
    </row>
    <row r="544">
      <c r="A544" s="49"/>
      <c r="B544" s="46"/>
      <c r="C544" s="46"/>
      <c r="D544" s="46"/>
      <c r="E544" s="46"/>
      <c r="F544" s="46"/>
      <c r="G544" s="46"/>
      <c r="H544" s="46"/>
      <c r="I544" s="46"/>
    </row>
    <row r="545">
      <c r="A545" s="49"/>
      <c r="B545" s="46"/>
      <c r="C545" s="46"/>
      <c r="D545" s="46"/>
      <c r="E545" s="46"/>
      <c r="F545" s="46"/>
      <c r="G545" s="46"/>
      <c r="H545" s="46"/>
      <c r="I545" s="46"/>
    </row>
    <row r="546">
      <c r="A546" s="49"/>
      <c r="B546" s="46"/>
      <c r="C546" s="46"/>
      <c r="D546" s="46"/>
      <c r="E546" s="46"/>
      <c r="F546" s="46"/>
      <c r="G546" s="46"/>
      <c r="H546" s="46"/>
      <c r="I546" s="46"/>
    </row>
    <row r="547">
      <c r="A547" s="49"/>
      <c r="B547" s="46"/>
      <c r="C547" s="46"/>
      <c r="D547" s="46"/>
      <c r="E547" s="46"/>
      <c r="F547" s="46"/>
      <c r="G547" s="46"/>
      <c r="H547" s="46"/>
      <c r="I547" s="46"/>
    </row>
    <row r="548">
      <c r="A548" s="49"/>
      <c r="B548" s="46"/>
      <c r="C548" s="46"/>
      <c r="D548" s="46"/>
      <c r="E548" s="46"/>
      <c r="F548" s="46"/>
      <c r="G548" s="46"/>
      <c r="H548" s="46"/>
      <c r="I548" s="46"/>
    </row>
    <row r="549">
      <c r="A549" s="49"/>
      <c r="B549" s="46"/>
      <c r="C549" s="46"/>
      <c r="D549" s="46"/>
      <c r="E549" s="46"/>
      <c r="F549" s="46"/>
      <c r="G549" s="46"/>
      <c r="H549" s="46"/>
      <c r="I549" s="46"/>
    </row>
    <row r="550">
      <c r="A550" s="49"/>
      <c r="B550" s="46"/>
      <c r="C550" s="46"/>
      <c r="D550" s="46"/>
      <c r="E550" s="46"/>
      <c r="F550" s="46"/>
      <c r="G550" s="46"/>
      <c r="H550" s="46"/>
      <c r="I550" s="46"/>
    </row>
    <row r="551">
      <c r="A551" s="49"/>
      <c r="B551" s="46"/>
      <c r="C551" s="46"/>
      <c r="D551" s="46"/>
      <c r="E551" s="46"/>
      <c r="F551" s="46"/>
      <c r="G551" s="46"/>
      <c r="H551" s="46"/>
      <c r="I551" s="46"/>
    </row>
    <row r="552">
      <c r="A552" s="49"/>
      <c r="B552" s="46"/>
      <c r="C552" s="46"/>
      <c r="D552" s="46"/>
      <c r="E552" s="46"/>
      <c r="F552" s="46"/>
      <c r="G552" s="46"/>
      <c r="H552" s="46"/>
      <c r="I552" s="46"/>
    </row>
    <row r="553">
      <c r="A553" s="49"/>
      <c r="B553" s="46"/>
      <c r="C553" s="46"/>
      <c r="D553" s="46"/>
      <c r="E553" s="46"/>
      <c r="F553" s="46"/>
      <c r="G553" s="46"/>
      <c r="H553" s="46"/>
      <c r="I553" s="46"/>
    </row>
    <row r="554">
      <c r="A554" s="49"/>
      <c r="B554" s="46"/>
      <c r="C554" s="46"/>
      <c r="D554" s="46"/>
      <c r="E554" s="46"/>
      <c r="F554" s="46"/>
      <c r="G554" s="46"/>
      <c r="H554" s="46"/>
      <c r="I554" s="46"/>
    </row>
    <row r="555">
      <c r="A555" s="49"/>
      <c r="B555" s="46"/>
      <c r="C555" s="46"/>
      <c r="D555" s="46"/>
      <c r="E555" s="46"/>
      <c r="F555" s="46"/>
      <c r="G555" s="46"/>
      <c r="H555" s="46"/>
      <c r="I555" s="46"/>
    </row>
    <row r="556">
      <c r="A556" s="49"/>
      <c r="B556" s="46"/>
      <c r="C556" s="46"/>
      <c r="D556" s="46"/>
      <c r="E556" s="46"/>
      <c r="F556" s="46"/>
      <c r="G556" s="46"/>
      <c r="H556" s="46"/>
      <c r="I556" s="46"/>
    </row>
    <row r="557">
      <c r="A557" s="49"/>
      <c r="B557" s="46"/>
      <c r="C557" s="46"/>
      <c r="D557" s="46"/>
      <c r="E557" s="46"/>
      <c r="F557" s="46"/>
      <c r="G557" s="46"/>
      <c r="H557" s="46"/>
      <c r="I557" s="46"/>
    </row>
    <row r="558">
      <c r="A558" s="49"/>
      <c r="B558" s="46"/>
      <c r="C558" s="46"/>
      <c r="D558" s="46"/>
      <c r="E558" s="46"/>
      <c r="F558" s="46"/>
      <c r="G558" s="46"/>
      <c r="H558" s="46"/>
      <c r="I558" s="46"/>
    </row>
    <row r="559">
      <c r="A559" s="49"/>
      <c r="B559" s="46"/>
      <c r="C559" s="46"/>
      <c r="D559" s="46"/>
      <c r="E559" s="46"/>
      <c r="F559" s="46"/>
      <c r="G559" s="46"/>
      <c r="H559" s="46"/>
      <c r="I559" s="46"/>
    </row>
    <row r="560">
      <c r="A560" s="49"/>
      <c r="B560" s="46"/>
      <c r="C560" s="46"/>
      <c r="D560" s="46"/>
      <c r="E560" s="46"/>
      <c r="F560" s="46"/>
      <c r="G560" s="46"/>
      <c r="H560" s="46"/>
      <c r="I560" s="46"/>
    </row>
    <row r="561">
      <c r="A561" s="49"/>
      <c r="B561" s="46"/>
      <c r="C561" s="46"/>
      <c r="D561" s="46"/>
      <c r="E561" s="46"/>
      <c r="F561" s="46"/>
      <c r="G561" s="46"/>
      <c r="H561" s="46"/>
      <c r="I561" s="46"/>
    </row>
    <row r="562">
      <c r="A562" s="49"/>
      <c r="B562" s="46"/>
      <c r="C562" s="46"/>
      <c r="D562" s="46"/>
      <c r="E562" s="46"/>
      <c r="F562" s="46"/>
      <c r="G562" s="46"/>
      <c r="H562" s="46"/>
      <c r="I562" s="46"/>
    </row>
    <row r="563">
      <c r="A563" s="49"/>
      <c r="B563" s="46"/>
      <c r="C563" s="46"/>
      <c r="D563" s="46"/>
      <c r="E563" s="46"/>
      <c r="F563" s="46"/>
      <c r="G563" s="46"/>
      <c r="H563" s="46"/>
      <c r="I563" s="46"/>
    </row>
    <row r="564">
      <c r="A564" s="49"/>
      <c r="B564" s="46"/>
      <c r="C564" s="46"/>
      <c r="D564" s="46"/>
      <c r="E564" s="46"/>
      <c r="F564" s="46"/>
      <c r="G564" s="46"/>
      <c r="H564" s="46"/>
      <c r="I564" s="46"/>
    </row>
    <row r="565">
      <c r="A565" s="49"/>
      <c r="B565" s="46"/>
      <c r="C565" s="46"/>
      <c r="D565" s="46"/>
      <c r="E565" s="46"/>
      <c r="F565" s="46"/>
      <c r="G565" s="46"/>
      <c r="H565" s="46"/>
      <c r="I565" s="46"/>
    </row>
    <row r="566">
      <c r="A566" s="49"/>
      <c r="B566" s="46"/>
      <c r="C566" s="46"/>
      <c r="D566" s="46"/>
      <c r="E566" s="46"/>
      <c r="F566" s="46"/>
      <c r="G566" s="46"/>
      <c r="H566" s="46"/>
      <c r="I566" s="46"/>
    </row>
    <row r="567">
      <c r="A567" s="49"/>
      <c r="B567" s="46"/>
      <c r="C567" s="46"/>
      <c r="D567" s="46"/>
      <c r="E567" s="46"/>
      <c r="F567" s="46"/>
      <c r="G567" s="46"/>
      <c r="H567" s="46"/>
      <c r="I567" s="46"/>
    </row>
    <row r="568">
      <c r="A568" s="49"/>
      <c r="B568" s="46"/>
      <c r="C568" s="46"/>
      <c r="D568" s="46"/>
      <c r="E568" s="46"/>
      <c r="F568" s="46"/>
      <c r="G568" s="46"/>
      <c r="H568" s="46"/>
      <c r="I568" s="46"/>
    </row>
    <row r="569">
      <c r="A569" s="49"/>
      <c r="B569" s="46"/>
      <c r="C569" s="46"/>
      <c r="D569" s="46"/>
      <c r="E569" s="46"/>
      <c r="F569" s="46"/>
      <c r="G569" s="46"/>
      <c r="H569" s="46"/>
      <c r="I569" s="46"/>
    </row>
    <row r="570">
      <c r="A570" s="49"/>
      <c r="B570" s="46"/>
      <c r="C570" s="46"/>
      <c r="D570" s="46"/>
      <c r="E570" s="46"/>
      <c r="F570" s="46"/>
      <c r="G570" s="46"/>
      <c r="H570" s="46"/>
      <c r="I570" s="46"/>
    </row>
    <row r="571">
      <c r="A571" s="49"/>
      <c r="B571" s="46"/>
      <c r="C571" s="46"/>
      <c r="D571" s="46"/>
      <c r="E571" s="46"/>
      <c r="F571" s="46"/>
      <c r="G571" s="46"/>
      <c r="H571" s="46"/>
      <c r="I571" s="46"/>
    </row>
    <row r="572">
      <c r="A572" s="49"/>
      <c r="B572" s="46"/>
      <c r="C572" s="46"/>
      <c r="D572" s="46"/>
      <c r="E572" s="46"/>
      <c r="F572" s="46"/>
      <c r="G572" s="46"/>
      <c r="H572" s="46"/>
      <c r="I572" s="46"/>
    </row>
    <row r="573">
      <c r="A573" s="49"/>
      <c r="B573" s="46"/>
      <c r="C573" s="46"/>
      <c r="D573" s="46"/>
      <c r="E573" s="46"/>
      <c r="F573" s="46"/>
      <c r="G573" s="46"/>
      <c r="H573" s="46"/>
      <c r="I573" s="46"/>
    </row>
    <row r="574">
      <c r="A574" s="49"/>
      <c r="B574" s="46"/>
      <c r="C574" s="46"/>
      <c r="D574" s="46"/>
      <c r="E574" s="46"/>
      <c r="F574" s="46"/>
      <c r="G574" s="46"/>
      <c r="H574" s="46"/>
      <c r="I574" s="46"/>
    </row>
    <row r="575">
      <c r="A575" s="49"/>
      <c r="B575" s="46"/>
      <c r="C575" s="46"/>
      <c r="D575" s="46"/>
      <c r="E575" s="46"/>
      <c r="F575" s="46"/>
      <c r="G575" s="46"/>
      <c r="H575" s="46"/>
      <c r="I575" s="46"/>
    </row>
    <row r="576">
      <c r="A576" s="49"/>
      <c r="B576" s="46"/>
      <c r="C576" s="46"/>
      <c r="D576" s="46"/>
      <c r="E576" s="46"/>
      <c r="F576" s="46"/>
      <c r="G576" s="46"/>
      <c r="H576" s="46"/>
      <c r="I576" s="46"/>
    </row>
    <row r="577">
      <c r="A577" s="49"/>
      <c r="B577" s="46"/>
      <c r="C577" s="46"/>
      <c r="D577" s="46"/>
      <c r="E577" s="46"/>
      <c r="F577" s="46"/>
      <c r="G577" s="46"/>
      <c r="H577" s="46"/>
      <c r="I577" s="46"/>
    </row>
    <row r="578">
      <c r="A578" s="49"/>
      <c r="B578" s="46"/>
      <c r="C578" s="46"/>
      <c r="D578" s="46"/>
      <c r="E578" s="46"/>
      <c r="F578" s="46"/>
      <c r="G578" s="46"/>
      <c r="H578" s="46"/>
      <c r="I578" s="46"/>
    </row>
    <row r="579">
      <c r="A579" s="49"/>
      <c r="B579" s="46"/>
      <c r="C579" s="46"/>
      <c r="D579" s="46"/>
      <c r="E579" s="46"/>
      <c r="F579" s="46"/>
      <c r="G579" s="46"/>
      <c r="H579" s="46"/>
      <c r="I579" s="46"/>
    </row>
    <row r="580">
      <c r="A580" s="49"/>
      <c r="B580" s="46"/>
      <c r="C580" s="46"/>
      <c r="D580" s="46"/>
      <c r="E580" s="46"/>
      <c r="F580" s="46"/>
      <c r="G580" s="46"/>
      <c r="H580" s="46"/>
      <c r="I580" s="46"/>
    </row>
    <row r="581">
      <c r="A581" s="49"/>
      <c r="B581" s="46"/>
      <c r="C581" s="46"/>
      <c r="D581" s="46"/>
      <c r="E581" s="46"/>
      <c r="F581" s="46"/>
      <c r="G581" s="46"/>
      <c r="H581" s="46"/>
      <c r="I581" s="46"/>
    </row>
    <row r="582">
      <c r="A582" s="49"/>
      <c r="B582" s="46"/>
      <c r="C582" s="46"/>
      <c r="D582" s="46"/>
      <c r="E582" s="46"/>
      <c r="F582" s="46"/>
      <c r="G582" s="46"/>
      <c r="H582" s="46"/>
      <c r="I582" s="46"/>
    </row>
    <row r="583">
      <c r="A583" s="49"/>
      <c r="B583" s="46"/>
      <c r="C583" s="46"/>
      <c r="D583" s="46"/>
      <c r="E583" s="46"/>
      <c r="F583" s="46"/>
      <c r="G583" s="46"/>
      <c r="H583" s="46"/>
      <c r="I583" s="46"/>
    </row>
    <row r="584">
      <c r="A584" s="49"/>
      <c r="B584" s="46"/>
      <c r="C584" s="46"/>
      <c r="D584" s="46"/>
      <c r="E584" s="46"/>
      <c r="F584" s="46"/>
      <c r="G584" s="46"/>
      <c r="H584" s="46"/>
      <c r="I584" s="46"/>
    </row>
    <row r="585">
      <c r="A585" s="49"/>
      <c r="B585" s="46"/>
      <c r="C585" s="46"/>
      <c r="D585" s="46"/>
      <c r="E585" s="46"/>
      <c r="F585" s="46"/>
      <c r="G585" s="46"/>
      <c r="H585" s="46"/>
      <c r="I585" s="46"/>
    </row>
    <row r="586">
      <c r="A586" s="49"/>
      <c r="B586" s="46"/>
      <c r="C586" s="46"/>
      <c r="D586" s="46"/>
      <c r="E586" s="46"/>
      <c r="F586" s="46"/>
      <c r="G586" s="46"/>
      <c r="H586" s="46"/>
      <c r="I586" s="46"/>
    </row>
    <row r="587">
      <c r="A587" s="49"/>
      <c r="B587" s="46"/>
      <c r="C587" s="46"/>
      <c r="D587" s="46"/>
      <c r="E587" s="46"/>
      <c r="F587" s="46"/>
      <c r="G587" s="46"/>
      <c r="H587" s="46"/>
      <c r="I587" s="46"/>
    </row>
    <row r="588">
      <c r="A588" s="49"/>
      <c r="B588" s="46"/>
      <c r="C588" s="46"/>
      <c r="D588" s="46"/>
      <c r="E588" s="46"/>
      <c r="F588" s="46"/>
      <c r="G588" s="46"/>
      <c r="H588" s="46"/>
      <c r="I588" s="46"/>
    </row>
    <row r="589">
      <c r="A589" s="49"/>
      <c r="B589" s="46"/>
      <c r="C589" s="46"/>
      <c r="D589" s="46"/>
      <c r="E589" s="46"/>
      <c r="F589" s="46"/>
      <c r="G589" s="46"/>
      <c r="H589" s="46"/>
      <c r="I589" s="46"/>
    </row>
    <row r="590">
      <c r="A590" s="49"/>
      <c r="B590" s="46"/>
      <c r="C590" s="46"/>
      <c r="D590" s="46"/>
      <c r="E590" s="46"/>
      <c r="F590" s="46"/>
      <c r="G590" s="46"/>
      <c r="H590" s="46"/>
      <c r="I590" s="46"/>
    </row>
    <row r="591">
      <c r="A591" s="49"/>
      <c r="B591" s="46"/>
      <c r="C591" s="46"/>
      <c r="D591" s="46"/>
      <c r="E591" s="46"/>
      <c r="F591" s="46"/>
      <c r="G591" s="46"/>
      <c r="H591" s="46"/>
      <c r="I591" s="46"/>
    </row>
    <row r="592">
      <c r="A592" s="49"/>
      <c r="B592" s="46"/>
      <c r="C592" s="46"/>
      <c r="D592" s="46"/>
      <c r="E592" s="46"/>
      <c r="F592" s="46"/>
      <c r="G592" s="46"/>
      <c r="H592" s="46"/>
      <c r="I592" s="46"/>
    </row>
    <row r="593">
      <c r="A593" s="49"/>
      <c r="B593" s="46"/>
      <c r="C593" s="46"/>
      <c r="D593" s="46"/>
      <c r="E593" s="46"/>
      <c r="F593" s="46"/>
      <c r="G593" s="46"/>
      <c r="H593" s="46"/>
      <c r="I593" s="46"/>
    </row>
    <row r="594">
      <c r="A594" s="49"/>
      <c r="B594" s="46"/>
      <c r="C594" s="46"/>
      <c r="D594" s="46"/>
      <c r="E594" s="46"/>
      <c r="F594" s="46"/>
      <c r="G594" s="46"/>
      <c r="H594" s="46"/>
      <c r="I594" s="46"/>
    </row>
    <row r="595">
      <c r="A595" s="49"/>
      <c r="B595" s="46"/>
      <c r="C595" s="46"/>
      <c r="D595" s="46"/>
      <c r="E595" s="46"/>
      <c r="F595" s="46"/>
      <c r="G595" s="46"/>
      <c r="H595" s="46"/>
      <c r="I595" s="46"/>
    </row>
    <row r="596">
      <c r="A596" s="49"/>
      <c r="B596" s="46"/>
      <c r="C596" s="46"/>
      <c r="D596" s="46"/>
      <c r="E596" s="46"/>
      <c r="F596" s="46"/>
      <c r="G596" s="46"/>
      <c r="H596" s="46"/>
      <c r="I596" s="46"/>
    </row>
    <row r="597">
      <c r="A597" s="49"/>
      <c r="B597" s="46"/>
      <c r="C597" s="46"/>
      <c r="D597" s="46"/>
      <c r="E597" s="46"/>
      <c r="F597" s="46"/>
      <c r="G597" s="46"/>
      <c r="H597" s="46"/>
      <c r="I597" s="46"/>
    </row>
    <row r="598">
      <c r="A598" s="49"/>
      <c r="B598" s="46"/>
      <c r="C598" s="46"/>
      <c r="D598" s="46"/>
      <c r="E598" s="46"/>
      <c r="F598" s="46"/>
      <c r="G598" s="46"/>
      <c r="H598" s="46"/>
      <c r="I598" s="46"/>
    </row>
    <row r="599">
      <c r="A599" s="49"/>
      <c r="B599" s="46"/>
      <c r="C599" s="46"/>
      <c r="D599" s="46"/>
      <c r="E599" s="46"/>
      <c r="F599" s="46"/>
      <c r="G599" s="46"/>
      <c r="H599" s="46"/>
      <c r="I599" s="46"/>
    </row>
    <row r="600">
      <c r="A600" s="49"/>
      <c r="B600" s="46"/>
      <c r="C600" s="46"/>
      <c r="D600" s="46"/>
      <c r="E600" s="46"/>
      <c r="F600" s="46"/>
      <c r="G600" s="46"/>
      <c r="H600" s="46"/>
      <c r="I600" s="46"/>
    </row>
    <row r="601">
      <c r="A601" s="49"/>
      <c r="B601" s="46"/>
      <c r="C601" s="46"/>
      <c r="D601" s="46"/>
      <c r="E601" s="46"/>
      <c r="F601" s="46"/>
      <c r="G601" s="46"/>
      <c r="H601" s="46"/>
      <c r="I601" s="46"/>
    </row>
    <row r="602">
      <c r="A602" s="49"/>
      <c r="B602" s="46"/>
      <c r="C602" s="46"/>
      <c r="D602" s="46"/>
      <c r="E602" s="46"/>
      <c r="F602" s="46"/>
      <c r="G602" s="46"/>
      <c r="H602" s="46"/>
      <c r="I602" s="46"/>
    </row>
    <row r="603">
      <c r="A603" s="49"/>
      <c r="B603" s="46"/>
      <c r="C603" s="46"/>
      <c r="D603" s="46"/>
      <c r="E603" s="46"/>
      <c r="F603" s="46"/>
      <c r="G603" s="46"/>
      <c r="H603" s="46"/>
      <c r="I603" s="46"/>
    </row>
    <row r="604">
      <c r="A604" s="49"/>
      <c r="B604" s="46"/>
      <c r="C604" s="46"/>
      <c r="D604" s="46"/>
      <c r="E604" s="46"/>
      <c r="F604" s="46"/>
      <c r="G604" s="46"/>
      <c r="H604" s="46"/>
      <c r="I604" s="46"/>
    </row>
    <row r="605">
      <c r="A605" s="49"/>
      <c r="B605" s="46"/>
      <c r="C605" s="46"/>
      <c r="D605" s="46"/>
      <c r="E605" s="46"/>
      <c r="F605" s="46"/>
      <c r="G605" s="46"/>
      <c r="H605" s="46"/>
      <c r="I605" s="46"/>
    </row>
    <row r="606">
      <c r="A606" s="49"/>
      <c r="B606" s="46"/>
      <c r="C606" s="46"/>
      <c r="D606" s="46"/>
      <c r="E606" s="46"/>
      <c r="F606" s="46"/>
      <c r="G606" s="46"/>
      <c r="H606" s="46"/>
      <c r="I606" s="46"/>
    </row>
    <row r="607">
      <c r="A607" s="49"/>
      <c r="B607" s="46"/>
      <c r="C607" s="46"/>
      <c r="D607" s="46"/>
      <c r="E607" s="46"/>
      <c r="F607" s="46"/>
      <c r="G607" s="46"/>
      <c r="H607" s="46"/>
      <c r="I607" s="46"/>
    </row>
    <row r="608">
      <c r="A608" s="49"/>
      <c r="B608" s="46"/>
      <c r="C608" s="46"/>
      <c r="D608" s="46"/>
      <c r="E608" s="46"/>
      <c r="F608" s="46"/>
      <c r="G608" s="46"/>
      <c r="H608" s="46"/>
      <c r="I608" s="46"/>
    </row>
    <row r="609">
      <c r="A609" s="49"/>
      <c r="B609" s="46"/>
      <c r="C609" s="46"/>
      <c r="D609" s="46"/>
      <c r="E609" s="46"/>
      <c r="F609" s="46"/>
      <c r="G609" s="46"/>
      <c r="H609" s="46"/>
      <c r="I609" s="46"/>
    </row>
    <row r="610">
      <c r="A610" s="49"/>
      <c r="B610" s="46"/>
      <c r="C610" s="46"/>
      <c r="D610" s="46"/>
      <c r="E610" s="46"/>
      <c r="F610" s="46"/>
      <c r="G610" s="46"/>
      <c r="H610" s="46"/>
      <c r="I610" s="46"/>
    </row>
    <row r="611">
      <c r="A611" s="49"/>
      <c r="B611" s="46"/>
      <c r="C611" s="46"/>
      <c r="D611" s="46"/>
      <c r="E611" s="46"/>
      <c r="F611" s="46"/>
      <c r="G611" s="46"/>
      <c r="H611" s="46"/>
      <c r="I611" s="46"/>
    </row>
    <row r="612">
      <c r="A612" s="49"/>
      <c r="B612" s="46"/>
      <c r="C612" s="46"/>
      <c r="D612" s="46"/>
      <c r="E612" s="46"/>
      <c r="F612" s="46"/>
      <c r="G612" s="46"/>
      <c r="H612" s="46"/>
      <c r="I612" s="46"/>
    </row>
    <row r="613">
      <c r="A613" s="49"/>
      <c r="B613" s="46"/>
      <c r="C613" s="46"/>
      <c r="D613" s="46"/>
      <c r="E613" s="46"/>
      <c r="F613" s="46"/>
      <c r="G613" s="46"/>
      <c r="H613" s="46"/>
      <c r="I613" s="46"/>
    </row>
    <row r="614">
      <c r="A614" s="49"/>
      <c r="B614" s="46"/>
      <c r="C614" s="46"/>
      <c r="D614" s="46"/>
      <c r="E614" s="46"/>
      <c r="F614" s="46"/>
      <c r="G614" s="46"/>
      <c r="H614" s="46"/>
      <c r="I614" s="46"/>
    </row>
    <row r="615">
      <c r="A615" s="49"/>
      <c r="B615" s="46"/>
      <c r="C615" s="46"/>
      <c r="D615" s="46"/>
      <c r="E615" s="46"/>
      <c r="F615" s="46"/>
      <c r="G615" s="46"/>
      <c r="H615" s="46"/>
      <c r="I615" s="46"/>
    </row>
    <row r="616">
      <c r="A616" s="49"/>
      <c r="B616" s="46"/>
      <c r="C616" s="46"/>
      <c r="D616" s="46"/>
      <c r="E616" s="46"/>
      <c r="F616" s="46"/>
      <c r="G616" s="46"/>
      <c r="H616" s="46"/>
      <c r="I616" s="46"/>
    </row>
    <row r="617">
      <c r="A617" s="49"/>
      <c r="B617" s="46"/>
      <c r="C617" s="46"/>
      <c r="D617" s="46"/>
      <c r="E617" s="46"/>
      <c r="F617" s="46"/>
      <c r="G617" s="46"/>
      <c r="H617" s="46"/>
      <c r="I617" s="46"/>
    </row>
    <row r="618">
      <c r="A618" s="49"/>
      <c r="B618" s="46"/>
      <c r="C618" s="46"/>
      <c r="D618" s="46"/>
      <c r="E618" s="46"/>
      <c r="F618" s="46"/>
      <c r="G618" s="46"/>
      <c r="H618" s="46"/>
      <c r="I618" s="46"/>
    </row>
    <row r="619">
      <c r="A619" s="49"/>
      <c r="B619" s="46"/>
      <c r="C619" s="46"/>
      <c r="D619" s="46"/>
      <c r="E619" s="46"/>
      <c r="F619" s="46"/>
      <c r="G619" s="46"/>
      <c r="H619" s="46"/>
      <c r="I619" s="46"/>
    </row>
    <row r="620">
      <c r="A620" s="49"/>
      <c r="B620" s="46"/>
      <c r="C620" s="46"/>
      <c r="D620" s="46"/>
      <c r="E620" s="46"/>
      <c r="F620" s="46"/>
      <c r="G620" s="46"/>
      <c r="H620" s="46"/>
      <c r="I620" s="46"/>
    </row>
    <row r="621">
      <c r="A621" s="49"/>
      <c r="B621" s="46"/>
      <c r="C621" s="46"/>
      <c r="D621" s="46"/>
      <c r="E621" s="46"/>
      <c r="F621" s="46"/>
      <c r="G621" s="46"/>
      <c r="H621" s="46"/>
      <c r="I621" s="46"/>
    </row>
    <row r="622">
      <c r="A622" s="49"/>
      <c r="B622" s="46"/>
      <c r="C622" s="46"/>
      <c r="D622" s="46"/>
      <c r="E622" s="46"/>
      <c r="F622" s="46"/>
      <c r="G622" s="46"/>
      <c r="H622" s="46"/>
      <c r="I622" s="46"/>
    </row>
    <row r="623">
      <c r="A623" s="49"/>
      <c r="B623" s="46"/>
      <c r="C623" s="46"/>
      <c r="D623" s="46"/>
      <c r="E623" s="46"/>
      <c r="F623" s="46"/>
      <c r="G623" s="46"/>
      <c r="H623" s="46"/>
      <c r="I623" s="46"/>
    </row>
    <row r="624">
      <c r="A624" s="49"/>
      <c r="B624" s="46"/>
      <c r="C624" s="46"/>
      <c r="D624" s="46"/>
      <c r="E624" s="46"/>
      <c r="F624" s="46"/>
      <c r="G624" s="46"/>
      <c r="H624" s="46"/>
      <c r="I624" s="46"/>
    </row>
    <row r="625">
      <c r="A625" s="49"/>
      <c r="B625" s="46"/>
      <c r="C625" s="46"/>
      <c r="D625" s="46"/>
      <c r="E625" s="46"/>
      <c r="F625" s="46"/>
      <c r="G625" s="46"/>
      <c r="H625" s="46"/>
      <c r="I625" s="46"/>
    </row>
    <row r="626">
      <c r="A626" s="49"/>
      <c r="B626" s="46"/>
      <c r="C626" s="46"/>
      <c r="D626" s="46"/>
      <c r="E626" s="46"/>
      <c r="F626" s="46"/>
      <c r="G626" s="46"/>
      <c r="H626" s="46"/>
      <c r="I626" s="46"/>
    </row>
    <row r="627">
      <c r="A627" s="49"/>
      <c r="B627" s="46"/>
      <c r="C627" s="46"/>
      <c r="D627" s="46"/>
      <c r="E627" s="46"/>
      <c r="F627" s="46"/>
      <c r="G627" s="46"/>
      <c r="H627" s="46"/>
      <c r="I627" s="46"/>
    </row>
    <row r="628">
      <c r="A628" s="49"/>
      <c r="B628" s="46"/>
      <c r="C628" s="46"/>
      <c r="D628" s="46"/>
      <c r="E628" s="46"/>
      <c r="F628" s="46"/>
      <c r="G628" s="46"/>
      <c r="H628" s="46"/>
      <c r="I628" s="46"/>
    </row>
    <row r="629">
      <c r="A629" s="49"/>
      <c r="B629" s="46"/>
      <c r="C629" s="46"/>
      <c r="D629" s="46"/>
      <c r="E629" s="46"/>
      <c r="F629" s="46"/>
      <c r="G629" s="46"/>
      <c r="H629" s="46"/>
      <c r="I629" s="46"/>
    </row>
    <row r="630">
      <c r="A630" s="49"/>
      <c r="B630" s="46"/>
      <c r="C630" s="46"/>
      <c r="D630" s="46"/>
      <c r="E630" s="46"/>
      <c r="F630" s="46"/>
      <c r="G630" s="46"/>
      <c r="H630" s="46"/>
      <c r="I630" s="46"/>
    </row>
    <row r="631">
      <c r="A631" s="49"/>
      <c r="B631" s="46"/>
      <c r="C631" s="46"/>
      <c r="D631" s="46"/>
      <c r="E631" s="46"/>
      <c r="F631" s="46"/>
      <c r="G631" s="46"/>
      <c r="H631" s="46"/>
      <c r="I631" s="46"/>
    </row>
    <row r="632">
      <c r="A632" s="49"/>
      <c r="B632" s="46"/>
      <c r="C632" s="46"/>
      <c r="D632" s="46"/>
      <c r="E632" s="46"/>
      <c r="F632" s="46"/>
      <c r="G632" s="46"/>
      <c r="H632" s="46"/>
      <c r="I632" s="46"/>
    </row>
    <row r="633">
      <c r="A633" s="49"/>
      <c r="B633" s="46"/>
      <c r="C633" s="46"/>
      <c r="D633" s="46"/>
      <c r="E633" s="46"/>
      <c r="F633" s="46"/>
      <c r="G633" s="46"/>
      <c r="H633" s="46"/>
      <c r="I633" s="46"/>
    </row>
    <row r="634">
      <c r="A634" s="49"/>
      <c r="B634" s="46"/>
      <c r="C634" s="46"/>
      <c r="D634" s="46"/>
      <c r="E634" s="46"/>
      <c r="F634" s="46"/>
      <c r="G634" s="46"/>
      <c r="H634" s="46"/>
      <c r="I634" s="46"/>
    </row>
    <row r="635">
      <c r="A635" s="49"/>
      <c r="B635" s="46"/>
      <c r="C635" s="46"/>
      <c r="D635" s="46"/>
      <c r="E635" s="46"/>
      <c r="F635" s="46"/>
      <c r="G635" s="46"/>
      <c r="H635" s="46"/>
      <c r="I635" s="46"/>
    </row>
    <row r="636">
      <c r="A636" s="49"/>
      <c r="B636" s="46"/>
      <c r="C636" s="46"/>
      <c r="D636" s="46"/>
      <c r="E636" s="46"/>
      <c r="F636" s="46"/>
      <c r="G636" s="46"/>
      <c r="H636" s="46"/>
      <c r="I636" s="46"/>
    </row>
    <row r="637">
      <c r="A637" s="49"/>
      <c r="B637" s="46"/>
      <c r="C637" s="46"/>
      <c r="D637" s="46"/>
      <c r="E637" s="46"/>
      <c r="F637" s="46"/>
      <c r="G637" s="46"/>
      <c r="H637" s="46"/>
      <c r="I637" s="46"/>
    </row>
    <row r="638">
      <c r="A638" s="49"/>
      <c r="B638" s="46"/>
      <c r="C638" s="46"/>
      <c r="D638" s="46"/>
      <c r="E638" s="46"/>
      <c r="F638" s="46"/>
      <c r="G638" s="46"/>
      <c r="H638" s="46"/>
      <c r="I638" s="46"/>
    </row>
    <row r="639">
      <c r="A639" s="49"/>
      <c r="B639" s="46"/>
      <c r="C639" s="46"/>
      <c r="D639" s="46"/>
      <c r="E639" s="46"/>
      <c r="F639" s="46"/>
      <c r="G639" s="46"/>
      <c r="H639" s="46"/>
      <c r="I639" s="46"/>
    </row>
    <row r="640">
      <c r="A640" s="49"/>
      <c r="B640" s="46"/>
      <c r="C640" s="46"/>
      <c r="D640" s="46"/>
      <c r="E640" s="46"/>
      <c r="F640" s="46"/>
      <c r="G640" s="46"/>
      <c r="H640" s="46"/>
      <c r="I640" s="46"/>
    </row>
    <row r="641">
      <c r="A641" s="49"/>
      <c r="B641" s="46"/>
      <c r="C641" s="46"/>
      <c r="D641" s="46"/>
      <c r="E641" s="46"/>
      <c r="F641" s="46"/>
      <c r="G641" s="46"/>
      <c r="H641" s="46"/>
      <c r="I641" s="46"/>
    </row>
    <row r="642">
      <c r="A642" s="49"/>
      <c r="B642" s="46"/>
      <c r="C642" s="46"/>
      <c r="D642" s="46"/>
      <c r="E642" s="46"/>
      <c r="F642" s="46"/>
      <c r="G642" s="46"/>
      <c r="H642" s="46"/>
      <c r="I642" s="46"/>
    </row>
    <row r="643">
      <c r="A643" s="49"/>
      <c r="B643" s="46"/>
      <c r="C643" s="46"/>
      <c r="D643" s="46"/>
      <c r="E643" s="46"/>
      <c r="F643" s="46"/>
      <c r="G643" s="46"/>
      <c r="H643" s="46"/>
      <c r="I643" s="46"/>
    </row>
    <row r="644">
      <c r="A644" s="49"/>
      <c r="B644" s="46"/>
      <c r="C644" s="46"/>
      <c r="D644" s="46"/>
      <c r="E644" s="46"/>
      <c r="F644" s="46"/>
      <c r="G644" s="46"/>
      <c r="H644" s="46"/>
      <c r="I644" s="46"/>
    </row>
    <row r="645">
      <c r="A645" s="49"/>
      <c r="B645" s="46"/>
      <c r="C645" s="46"/>
      <c r="D645" s="46"/>
      <c r="E645" s="46"/>
      <c r="F645" s="46"/>
      <c r="G645" s="46"/>
      <c r="H645" s="46"/>
      <c r="I645" s="46"/>
    </row>
    <row r="646">
      <c r="A646" s="49"/>
      <c r="B646" s="46"/>
      <c r="C646" s="46"/>
      <c r="D646" s="46"/>
      <c r="E646" s="46"/>
      <c r="F646" s="46"/>
      <c r="G646" s="46"/>
      <c r="H646" s="46"/>
      <c r="I646" s="46"/>
    </row>
    <row r="647">
      <c r="A647" s="49"/>
      <c r="B647" s="46"/>
      <c r="C647" s="46"/>
      <c r="D647" s="46"/>
      <c r="E647" s="46"/>
      <c r="F647" s="46"/>
      <c r="G647" s="46"/>
      <c r="H647" s="46"/>
      <c r="I647" s="46"/>
    </row>
    <row r="648">
      <c r="A648" s="49"/>
      <c r="B648" s="46"/>
      <c r="C648" s="46"/>
      <c r="D648" s="46"/>
      <c r="E648" s="46"/>
      <c r="F648" s="46"/>
      <c r="G648" s="46"/>
      <c r="H648" s="46"/>
      <c r="I648" s="46"/>
    </row>
    <row r="649">
      <c r="A649" s="49"/>
      <c r="B649" s="46"/>
      <c r="C649" s="46"/>
      <c r="D649" s="46"/>
      <c r="E649" s="46"/>
      <c r="F649" s="46"/>
      <c r="G649" s="46"/>
      <c r="H649" s="46"/>
      <c r="I649" s="46"/>
    </row>
    <row r="650">
      <c r="A650" s="49"/>
      <c r="B650" s="46"/>
      <c r="C650" s="46"/>
      <c r="D650" s="46"/>
      <c r="E650" s="46"/>
      <c r="F650" s="46"/>
      <c r="G650" s="46"/>
      <c r="H650" s="46"/>
      <c r="I650" s="46"/>
    </row>
    <row r="651">
      <c r="A651" s="49"/>
      <c r="B651" s="46"/>
      <c r="C651" s="46"/>
      <c r="D651" s="46"/>
      <c r="E651" s="46"/>
      <c r="F651" s="46"/>
      <c r="G651" s="46"/>
      <c r="H651" s="46"/>
      <c r="I651" s="46"/>
    </row>
    <row r="652">
      <c r="A652" s="49"/>
      <c r="B652" s="46"/>
      <c r="C652" s="46"/>
      <c r="D652" s="46"/>
      <c r="E652" s="46"/>
      <c r="F652" s="46"/>
      <c r="G652" s="46"/>
      <c r="H652" s="46"/>
      <c r="I652" s="46"/>
    </row>
    <row r="653">
      <c r="A653" s="49"/>
      <c r="B653" s="46"/>
      <c r="C653" s="46"/>
      <c r="D653" s="46"/>
      <c r="E653" s="46"/>
      <c r="F653" s="46"/>
      <c r="G653" s="46"/>
      <c r="H653" s="46"/>
      <c r="I653" s="46"/>
    </row>
    <row r="654">
      <c r="A654" s="49"/>
      <c r="B654" s="46"/>
      <c r="C654" s="46"/>
      <c r="D654" s="46"/>
      <c r="E654" s="46"/>
      <c r="F654" s="46"/>
      <c r="G654" s="46"/>
      <c r="H654" s="46"/>
      <c r="I654" s="46"/>
    </row>
    <row r="655">
      <c r="A655" s="49"/>
      <c r="B655" s="46"/>
      <c r="C655" s="46"/>
      <c r="D655" s="46"/>
      <c r="E655" s="46"/>
      <c r="F655" s="46"/>
      <c r="G655" s="46"/>
      <c r="H655" s="46"/>
      <c r="I655" s="46"/>
    </row>
    <row r="656">
      <c r="A656" s="49"/>
      <c r="B656" s="46"/>
      <c r="C656" s="46"/>
      <c r="D656" s="46"/>
      <c r="E656" s="46"/>
      <c r="F656" s="46"/>
      <c r="G656" s="46"/>
      <c r="H656" s="46"/>
      <c r="I656" s="46"/>
    </row>
    <row r="657">
      <c r="A657" s="49"/>
      <c r="B657" s="46"/>
      <c r="C657" s="46"/>
      <c r="D657" s="46"/>
      <c r="E657" s="46"/>
      <c r="F657" s="46"/>
      <c r="G657" s="46"/>
      <c r="H657" s="46"/>
      <c r="I657" s="46"/>
    </row>
    <row r="658">
      <c r="A658" s="49"/>
      <c r="B658" s="46"/>
      <c r="C658" s="46"/>
      <c r="D658" s="46"/>
      <c r="E658" s="46"/>
      <c r="F658" s="46"/>
      <c r="G658" s="46"/>
      <c r="H658" s="46"/>
      <c r="I658" s="46"/>
    </row>
    <row r="659">
      <c r="A659" s="49"/>
      <c r="B659" s="46"/>
      <c r="C659" s="46"/>
      <c r="D659" s="46"/>
      <c r="E659" s="46"/>
      <c r="F659" s="46"/>
      <c r="G659" s="46"/>
      <c r="H659" s="46"/>
      <c r="I659" s="46"/>
    </row>
    <row r="660">
      <c r="A660" s="49"/>
      <c r="B660" s="46"/>
      <c r="C660" s="46"/>
      <c r="D660" s="46"/>
      <c r="E660" s="46"/>
      <c r="F660" s="46"/>
      <c r="G660" s="46"/>
      <c r="H660" s="46"/>
      <c r="I660" s="46"/>
    </row>
    <row r="661">
      <c r="A661" s="49"/>
      <c r="B661" s="46"/>
      <c r="C661" s="46"/>
      <c r="D661" s="46"/>
      <c r="E661" s="46"/>
      <c r="F661" s="46"/>
      <c r="G661" s="46"/>
      <c r="H661" s="46"/>
      <c r="I661" s="46"/>
    </row>
    <row r="662">
      <c r="A662" s="49"/>
      <c r="B662" s="46"/>
      <c r="C662" s="46"/>
      <c r="D662" s="46"/>
      <c r="E662" s="46"/>
      <c r="F662" s="46"/>
      <c r="G662" s="46"/>
      <c r="H662" s="46"/>
      <c r="I662" s="46"/>
    </row>
    <row r="663">
      <c r="A663" s="49"/>
      <c r="B663" s="46"/>
      <c r="C663" s="46"/>
      <c r="D663" s="46"/>
      <c r="E663" s="46"/>
      <c r="F663" s="46"/>
      <c r="G663" s="46"/>
      <c r="H663" s="46"/>
      <c r="I663" s="46"/>
    </row>
    <row r="664">
      <c r="A664" s="49"/>
      <c r="B664" s="46"/>
      <c r="C664" s="46"/>
      <c r="D664" s="46"/>
      <c r="E664" s="46"/>
      <c r="F664" s="46"/>
      <c r="G664" s="46"/>
      <c r="H664" s="46"/>
      <c r="I664" s="46"/>
    </row>
    <row r="665">
      <c r="A665" s="49"/>
      <c r="B665" s="46"/>
      <c r="C665" s="46"/>
      <c r="D665" s="46"/>
      <c r="E665" s="46"/>
      <c r="F665" s="46"/>
      <c r="G665" s="46"/>
      <c r="H665" s="46"/>
      <c r="I665" s="46"/>
    </row>
    <row r="666">
      <c r="A666" s="49"/>
      <c r="B666" s="46"/>
      <c r="C666" s="46"/>
      <c r="D666" s="46"/>
      <c r="E666" s="46"/>
      <c r="F666" s="46"/>
      <c r="G666" s="46"/>
      <c r="H666" s="46"/>
      <c r="I666" s="46"/>
    </row>
    <row r="667">
      <c r="A667" s="49"/>
      <c r="B667" s="46"/>
      <c r="C667" s="46"/>
      <c r="D667" s="46"/>
      <c r="E667" s="46"/>
      <c r="F667" s="46"/>
      <c r="G667" s="46"/>
      <c r="H667" s="46"/>
      <c r="I667" s="46"/>
    </row>
    <row r="668">
      <c r="A668" s="49"/>
      <c r="B668" s="46"/>
      <c r="C668" s="46"/>
      <c r="D668" s="46"/>
      <c r="E668" s="46"/>
      <c r="F668" s="46"/>
      <c r="G668" s="46"/>
      <c r="H668" s="46"/>
      <c r="I668" s="46"/>
    </row>
    <row r="669">
      <c r="A669" s="49"/>
      <c r="B669" s="46"/>
      <c r="C669" s="46"/>
      <c r="D669" s="46"/>
      <c r="E669" s="46"/>
      <c r="F669" s="46"/>
      <c r="G669" s="46"/>
      <c r="H669" s="46"/>
      <c r="I669" s="46"/>
    </row>
    <row r="670">
      <c r="A670" s="49"/>
      <c r="B670" s="46"/>
      <c r="C670" s="46"/>
      <c r="D670" s="46"/>
      <c r="E670" s="46"/>
      <c r="F670" s="46"/>
      <c r="G670" s="46"/>
      <c r="H670" s="46"/>
      <c r="I670" s="46"/>
    </row>
    <row r="671">
      <c r="A671" s="49"/>
      <c r="B671" s="46"/>
      <c r="C671" s="46"/>
      <c r="D671" s="46"/>
      <c r="E671" s="46"/>
      <c r="F671" s="46"/>
      <c r="G671" s="46"/>
      <c r="H671" s="46"/>
      <c r="I671" s="46"/>
    </row>
    <row r="672">
      <c r="A672" s="49"/>
      <c r="B672" s="46"/>
      <c r="C672" s="46"/>
      <c r="D672" s="46"/>
      <c r="E672" s="46"/>
      <c r="F672" s="46"/>
      <c r="G672" s="46"/>
      <c r="H672" s="46"/>
      <c r="I672" s="46"/>
    </row>
    <row r="673">
      <c r="A673" s="49"/>
      <c r="B673" s="46"/>
      <c r="C673" s="46"/>
      <c r="D673" s="46"/>
      <c r="E673" s="46"/>
      <c r="F673" s="46"/>
      <c r="G673" s="46"/>
      <c r="H673" s="46"/>
      <c r="I673" s="46"/>
    </row>
    <row r="674">
      <c r="A674" s="49"/>
      <c r="B674" s="46"/>
      <c r="C674" s="46"/>
      <c r="D674" s="46"/>
      <c r="E674" s="46"/>
      <c r="F674" s="46"/>
      <c r="G674" s="46"/>
      <c r="H674" s="46"/>
      <c r="I674" s="46"/>
    </row>
    <row r="675">
      <c r="A675" s="49"/>
      <c r="B675" s="46"/>
      <c r="C675" s="46"/>
      <c r="D675" s="46"/>
      <c r="E675" s="46"/>
      <c r="F675" s="46"/>
      <c r="G675" s="46"/>
      <c r="H675" s="46"/>
      <c r="I675" s="46"/>
    </row>
    <row r="676">
      <c r="A676" s="49"/>
      <c r="B676" s="46"/>
      <c r="C676" s="46"/>
      <c r="D676" s="46"/>
      <c r="E676" s="46"/>
      <c r="F676" s="46"/>
      <c r="G676" s="46"/>
      <c r="H676" s="46"/>
      <c r="I676" s="46"/>
    </row>
    <row r="677">
      <c r="A677" s="49"/>
      <c r="B677" s="46"/>
      <c r="C677" s="46"/>
      <c r="D677" s="46"/>
      <c r="E677" s="46"/>
      <c r="F677" s="46"/>
      <c r="G677" s="46"/>
      <c r="H677" s="46"/>
      <c r="I677" s="46"/>
    </row>
    <row r="678">
      <c r="A678" s="49"/>
      <c r="B678" s="46"/>
      <c r="C678" s="46"/>
      <c r="D678" s="46"/>
      <c r="E678" s="46"/>
      <c r="F678" s="46"/>
      <c r="G678" s="46"/>
      <c r="H678" s="46"/>
      <c r="I678" s="46"/>
    </row>
    <row r="679">
      <c r="A679" s="49"/>
      <c r="B679" s="46"/>
      <c r="C679" s="46"/>
      <c r="D679" s="46"/>
      <c r="E679" s="46"/>
      <c r="F679" s="46"/>
      <c r="G679" s="46"/>
      <c r="H679" s="46"/>
      <c r="I679" s="46"/>
    </row>
    <row r="680">
      <c r="A680" s="49"/>
      <c r="B680" s="46"/>
      <c r="C680" s="46"/>
      <c r="D680" s="46"/>
      <c r="E680" s="46"/>
      <c r="F680" s="46"/>
      <c r="G680" s="46"/>
      <c r="H680" s="46"/>
      <c r="I680" s="46"/>
    </row>
    <row r="681">
      <c r="A681" s="49"/>
      <c r="B681" s="46"/>
      <c r="C681" s="46"/>
      <c r="D681" s="46"/>
      <c r="E681" s="46"/>
      <c r="F681" s="46"/>
      <c r="G681" s="46"/>
      <c r="H681" s="46"/>
      <c r="I681" s="46"/>
    </row>
    <row r="682">
      <c r="A682" s="49"/>
      <c r="B682" s="46"/>
      <c r="C682" s="46"/>
      <c r="D682" s="46"/>
      <c r="E682" s="46"/>
      <c r="F682" s="46"/>
      <c r="G682" s="46"/>
      <c r="H682" s="46"/>
      <c r="I682" s="46"/>
    </row>
    <row r="683">
      <c r="A683" s="49"/>
      <c r="B683" s="46"/>
      <c r="C683" s="46"/>
      <c r="D683" s="46"/>
      <c r="E683" s="46"/>
      <c r="F683" s="46"/>
      <c r="G683" s="46"/>
      <c r="H683" s="46"/>
      <c r="I683" s="46"/>
    </row>
    <row r="684">
      <c r="A684" s="49"/>
      <c r="B684" s="46"/>
      <c r="C684" s="46"/>
      <c r="D684" s="46"/>
      <c r="E684" s="46"/>
      <c r="F684" s="46"/>
      <c r="G684" s="46"/>
      <c r="H684" s="46"/>
      <c r="I684" s="46"/>
    </row>
    <row r="685">
      <c r="A685" s="49"/>
      <c r="B685" s="46"/>
      <c r="C685" s="46"/>
      <c r="D685" s="46"/>
      <c r="E685" s="46"/>
      <c r="F685" s="46"/>
      <c r="G685" s="46"/>
      <c r="H685" s="46"/>
      <c r="I685" s="46"/>
    </row>
    <row r="686">
      <c r="A686" s="49"/>
      <c r="B686" s="46"/>
      <c r="C686" s="46"/>
      <c r="D686" s="46"/>
      <c r="E686" s="46"/>
      <c r="F686" s="46"/>
      <c r="G686" s="46"/>
      <c r="H686" s="46"/>
      <c r="I686" s="46"/>
    </row>
    <row r="687">
      <c r="A687" s="49"/>
      <c r="B687" s="46"/>
      <c r="C687" s="46"/>
      <c r="D687" s="46"/>
      <c r="E687" s="46"/>
      <c r="F687" s="46"/>
      <c r="G687" s="46"/>
      <c r="H687" s="46"/>
      <c r="I687" s="46"/>
    </row>
    <row r="688">
      <c r="A688" s="49"/>
      <c r="B688" s="46"/>
      <c r="C688" s="46"/>
      <c r="D688" s="46"/>
      <c r="E688" s="46"/>
      <c r="F688" s="46"/>
      <c r="G688" s="46"/>
      <c r="H688" s="46"/>
      <c r="I688" s="46"/>
    </row>
    <row r="689">
      <c r="A689" s="49"/>
      <c r="B689" s="46"/>
      <c r="C689" s="46"/>
      <c r="D689" s="46"/>
      <c r="E689" s="46"/>
      <c r="F689" s="46"/>
      <c r="G689" s="46"/>
      <c r="H689" s="46"/>
      <c r="I689" s="46"/>
    </row>
    <row r="690">
      <c r="A690" s="49"/>
      <c r="B690" s="46"/>
      <c r="C690" s="46"/>
      <c r="D690" s="46"/>
      <c r="E690" s="46"/>
      <c r="F690" s="46"/>
      <c r="G690" s="46"/>
      <c r="H690" s="46"/>
      <c r="I690" s="46"/>
    </row>
    <row r="691">
      <c r="A691" s="49"/>
      <c r="B691" s="46"/>
      <c r="C691" s="46"/>
      <c r="D691" s="46"/>
      <c r="E691" s="46"/>
      <c r="F691" s="46"/>
      <c r="G691" s="46"/>
      <c r="H691" s="46"/>
      <c r="I691" s="46"/>
    </row>
    <row r="692">
      <c r="A692" s="49"/>
      <c r="B692" s="46"/>
      <c r="C692" s="46"/>
      <c r="D692" s="46"/>
      <c r="E692" s="46"/>
      <c r="F692" s="46"/>
      <c r="G692" s="46"/>
      <c r="H692" s="46"/>
      <c r="I692" s="46"/>
    </row>
    <row r="693">
      <c r="A693" s="49"/>
      <c r="B693" s="46"/>
      <c r="C693" s="46"/>
      <c r="D693" s="46"/>
      <c r="E693" s="46"/>
      <c r="F693" s="46"/>
      <c r="G693" s="46"/>
      <c r="H693" s="46"/>
      <c r="I693" s="46"/>
    </row>
    <row r="694">
      <c r="A694" s="49"/>
      <c r="B694" s="46"/>
      <c r="C694" s="46"/>
      <c r="D694" s="46"/>
      <c r="E694" s="46"/>
      <c r="F694" s="46"/>
      <c r="G694" s="46"/>
      <c r="H694" s="46"/>
      <c r="I694" s="46"/>
    </row>
    <row r="695">
      <c r="A695" s="49"/>
      <c r="B695" s="46"/>
      <c r="C695" s="46"/>
      <c r="D695" s="46"/>
      <c r="E695" s="46"/>
      <c r="F695" s="46"/>
      <c r="G695" s="46"/>
      <c r="H695" s="46"/>
      <c r="I695" s="46"/>
    </row>
    <row r="696">
      <c r="A696" s="49"/>
      <c r="B696" s="46"/>
      <c r="C696" s="46"/>
      <c r="D696" s="46"/>
      <c r="E696" s="46"/>
      <c r="F696" s="46"/>
      <c r="G696" s="46"/>
      <c r="H696" s="46"/>
      <c r="I696" s="46"/>
    </row>
    <row r="697">
      <c r="A697" s="49"/>
      <c r="B697" s="46"/>
      <c r="C697" s="46"/>
      <c r="D697" s="46"/>
      <c r="E697" s="46"/>
      <c r="F697" s="46"/>
      <c r="G697" s="46"/>
      <c r="H697" s="46"/>
      <c r="I697" s="46"/>
    </row>
    <row r="698">
      <c r="A698" s="49"/>
      <c r="B698" s="46"/>
      <c r="C698" s="46"/>
      <c r="D698" s="46"/>
      <c r="E698" s="46"/>
      <c r="F698" s="46"/>
      <c r="G698" s="46"/>
      <c r="H698" s="46"/>
      <c r="I698" s="46"/>
    </row>
    <row r="699">
      <c r="A699" s="49"/>
      <c r="B699" s="46"/>
      <c r="C699" s="46"/>
      <c r="D699" s="46"/>
      <c r="E699" s="46"/>
      <c r="F699" s="46"/>
      <c r="G699" s="46"/>
      <c r="H699" s="46"/>
      <c r="I699" s="46"/>
    </row>
    <row r="700">
      <c r="A700" s="49"/>
      <c r="B700" s="46"/>
      <c r="C700" s="46"/>
      <c r="D700" s="46"/>
      <c r="E700" s="46"/>
      <c r="F700" s="46"/>
      <c r="G700" s="46"/>
      <c r="H700" s="46"/>
      <c r="I700" s="46"/>
    </row>
    <row r="701">
      <c r="A701" s="49"/>
      <c r="B701" s="46"/>
      <c r="C701" s="46"/>
      <c r="D701" s="46"/>
      <c r="E701" s="46"/>
      <c r="F701" s="46"/>
      <c r="G701" s="46"/>
      <c r="H701" s="46"/>
      <c r="I701" s="46"/>
    </row>
    <row r="702">
      <c r="A702" s="49"/>
      <c r="B702" s="46"/>
      <c r="C702" s="46"/>
      <c r="D702" s="46"/>
      <c r="E702" s="46"/>
      <c r="F702" s="46"/>
      <c r="G702" s="46"/>
      <c r="H702" s="46"/>
      <c r="I702" s="46"/>
    </row>
    <row r="703">
      <c r="A703" s="49"/>
      <c r="B703" s="46"/>
      <c r="C703" s="46"/>
      <c r="D703" s="46"/>
      <c r="E703" s="46"/>
      <c r="F703" s="46"/>
      <c r="G703" s="46"/>
      <c r="H703" s="46"/>
      <c r="I703" s="46"/>
    </row>
    <row r="704">
      <c r="A704" s="49"/>
      <c r="B704" s="46"/>
      <c r="C704" s="46"/>
      <c r="D704" s="46"/>
      <c r="E704" s="46"/>
      <c r="F704" s="46"/>
      <c r="G704" s="46"/>
      <c r="H704" s="46"/>
      <c r="I704" s="46"/>
    </row>
    <row r="705">
      <c r="A705" s="49"/>
      <c r="B705" s="46"/>
      <c r="C705" s="46"/>
      <c r="D705" s="46"/>
      <c r="E705" s="46"/>
      <c r="F705" s="46"/>
      <c r="G705" s="46"/>
      <c r="H705" s="46"/>
      <c r="I705" s="46"/>
    </row>
    <row r="706">
      <c r="A706" s="49"/>
      <c r="B706" s="46"/>
      <c r="C706" s="46"/>
      <c r="D706" s="46"/>
      <c r="E706" s="46"/>
      <c r="F706" s="46"/>
      <c r="G706" s="46"/>
      <c r="H706" s="46"/>
      <c r="I706" s="46"/>
    </row>
    <row r="707">
      <c r="A707" s="49"/>
      <c r="B707" s="46"/>
      <c r="C707" s="46"/>
      <c r="D707" s="46"/>
      <c r="E707" s="46"/>
      <c r="F707" s="46"/>
      <c r="G707" s="46"/>
      <c r="H707" s="46"/>
      <c r="I707" s="46"/>
    </row>
    <row r="708">
      <c r="A708" s="49"/>
      <c r="B708" s="46"/>
      <c r="C708" s="46"/>
      <c r="D708" s="46"/>
      <c r="E708" s="46"/>
      <c r="F708" s="46"/>
      <c r="G708" s="46"/>
      <c r="H708" s="46"/>
      <c r="I708" s="46"/>
    </row>
    <row r="709">
      <c r="A709" s="49"/>
      <c r="B709" s="46"/>
      <c r="C709" s="46"/>
      <c r="D709" s="46"/>
      <c r="E709" s="46"/>
      <c r="F709" s="46"/>
      <c r="G709" s="46"/>
      <c r="H709" s="46"/>
      <c r="I709" s="46"/>
    </row>
    <row r="710">
      <c r="A710" s="49"/>
      <c r="B710" s="46"/>
      <c r="C710" s="46"/>
      <c r="D710" s="46"/>
      <c r="E710" s="46"/>
      <c r="F710" s="46"/>
      <c r="G710" s="46"/>
      <c r="H710" s="46"/>
      <c r="I710" s="46"/>
    </row>
    <row r="711">
      <c r="A711" s="49"/>
      <c r="B711" s="46"/>
      <c r="C711" s="46"/>
      <c r="D711" s="46"/>
      <c r="E711" s="46"/>
      <c r="F711" s="46"/>
      <c r="G711" s="46"/>
      <c r="H711" s="46"/>
      <c r="I711" s="46"/>
    </row>
    <row r="712">
      <c r="A712" s="49"/>
      <c r="B712" s="46"/>
      <c r="C712" s="46"/>
      <c r="D712" s="46"/>
      <c r="E712" s="46"/>
      <c r="F712" s="46"/>
      <c r="G712" s="46"/>
      <c r="H712" s="46"/>
      <c r="I712" s="46"/>
    </row>
    <row r="713">
      <c r="A713" s="49"/>
      <c r="B713" s="46"/>
      <c r="C713" s="46"/>
      <c r="D713" s="46"/>
      <c r="E713" s="46"/>
      <c r="F713" s="46"/>
      <c r="G713" s="46"/>
      <c r="H713" s="46"/>
      <c r="I713" s="46"/>
    </row>
    <row r="714">
      <c r="A714" s="49"/>
      <c r="B714" s="46"/>
      <c r="C714" s="46"/>
      <c r="D714" s="46"/>
      <c r="E714" s="46"/>
      <c r="F714" s="46"/>
      <c r="G714" s="46"/>
      <c r="H714" s="46"/>
      <c r="I714" s="46"/>
    </row>
    <row r="715">
      <c r="A715" s="49"/>
      <c r="B715" s="46"/>
      <c r="C715" s="46"/>
      <c r="D715" s="46"/>
      <c r="E715" s="46"/>
      <c r="F715" s="46"/>
      <c r="G715" s="46"/>
      <c r="H715" s="46"/>
      <c r="I715" s="46"/>
    </row>
    <row r="716">
      <c r="A716" s="49"/>
      <c r="B716" s="46"/>
      <c r="C716" s="46"/>
      <c r="D716" s="46"/>
      <c r="E716" s="46"/>
      <c r="F716" s="46"/>
      <c r="G716" s="46"/>
      <c r="H716" s="46"/>
      <c r="I716" s="46"/>
    </row>
    <row r="717">
      <c r="A717" s="49"/>
      <c r="B717" s="46"/>
      <c r="C717" s="46"/>
      <c r="D717" s="46"/>
      <c r="E717" s="46"/>
      <c r="F717" s="46"/>
      <c r="G717" s="46"/>
      <c r="H717" s="46"/>
      <c r="I717" s="46"/>
    </row>
    <row r="718">
      <c r="A718" s="49"/>
      <c r="B718" s="46"/>
      <c r="C718" s="46"/>
      <c r="D718" s="46"/>
      <c r="E718" s="46"/>
      <c r="F718" s="46"/>
      <c r="G718" s="46"/>
      <c r="H718" s="46"/>
      <c r="I718" s="46"/>
    </row>
    <row r="719">
      <c r="A719" s="49"/>
      <c r="B719" s="46"/>
      <c r="C719" s="46"/>
      <c r="D719" s="46"/>
      <c r="E719" s="46"/>
      <c r="F719" s="46"/>
      <c r="G719" s="46"/>
      <c r="H719" s="46"/>
      <c r="I719" s="46"/>
    </row>
    <row r="720">
      <c r="A720" s="49"/>
      <c r="B720" s="46"/>
      <c r="C720" s="46"/>
      <c r="D720" s="46"/>
      <c r="E720" s="46"/>
      <c r="F720" s="46"/>
      <c r="G720" s="46"/>
      <c r="H720" s="46"/>
      <c r="I720" s="46"/>
    </row>
    <row r="721">
      <c r="A721" s="49"/>
      <c r="B721" s="46"/>
      <c r="C721" s="46"/>
      <c r="D721" s="46"/>
      <c r="E721" s="46"/>
      <c r="F721" s="46"/>
      <c r="G721" s="46"/>
      <c r="H721" s="46"/>
      <c r="I721" s="46"/>
    </row>
    <row r="722">
      <c r="A722" s="49"/>
      <c r="B722" s="46"/>
      <c r="C722" s="46"/>
      <c r="D722" s="46"/>
      <c r="E722" s="46"/>
      <c r="F722" s="46"/>
      <c r="G722" s="46"/>
      <c r="H722" s="46"/>
      <c r="I722" s="46"/>
    </row>
    <row r="723">
      <c r="A723" s="49"/>
      <c r="B723" s="46"/>
      <c r="C723" s="46"/>
      <c r="D723" s="46"/>
      <c r="E723" s="46"/>
      <c r="F723" s="46"/>
      <c r="G723" s="46"/>
      <c r="H723" s="46"/>
      <c r="I723" s="46"/>
    </row>
    <row r="724">
      <c r="A724" s="49"/>
      <c r="B724" s="46"/>
      <c r="C724" s="46"/>
      <c r="D724" s="46"/>
      <c r="E724" s="46"/>
      <c r="F724" s="46"/>
      <c r="G724" s="46"/>
      <c r="H724" s="46"/>
      <c r="I724" s="46"/>
    </row>
    <row r="725">
      <c r="A725" s="49"/>
      <c r="B725" s="46"/>
      <c r="C725" s="46"/>
      <c r="D725" s="46"/>
      <c r="E725" s="46"/>
      <c r="F725" s="46"/>
      <c r="G725" s="46"/>
      <c r="H725" s="46"/>
      <c r="I725" s="46"/>
    </row>
    <row r="726">
      <c r="A726" s="49"/>
      <c r="B726" s="46"/>
      <c r="C726" s="46"/>
      <c r="D726" s="46"/>
      <c r="E726" s="46"/>
      <c r="F726" s="46"/>
      <c r="G726" s="46"/>
      <c r="H726" s="46"/>
      <c r="I726" s="46"/>
    </row>
    <row r="727">
      <c r="A727" s="49"/>
      <c r="B727" s="46"/>
      <c r="C727" s="46"/>
      <c r="D727" s="46"/>
      <c r="E727" s="46"/>
      <c r="F727" s="46"/>
      <c r="G727" s="46"/>
      <c r="H727" s="46"/>
      <c r="I727" s="46"/>
    </row>
    <row r="728">
      <c r="A728" s="49"/>
      <c r="B728" s="46"/>
      <c r="C728" s="46"/>
      <c r="D728" s="46"/>
      <c r="E728" s="46"/>
      <c r="F728" s="46"/>
      <c r="G728" s="46"/>
      <c r="H728" s="46"/>
      <c r="I728" s="46"/>
    </row>
    <row r="729">
      <c r="A729" s="49"/>
      <c r="B729" s="46"/>
      <c r="C729" s="46"/>
      <c r="D729" s="46"/>
      <c r="E729" s="46"/>
      <c r="F729" s="46"/>
      <c r="G729" s="46"/>
      <c r="H729" s="46"/>
      <c r="I729" s="46"/>
    </row>
    <row r="730">
      <c r="A730" s="49"/>
      <c r="B730" s="46"/>
      <c r="C730" s="46"/>
      <c r="D730" s="46"/>
      <c r="E730" s="46"/>
      <c r="F730" s="46"/>
      <c r="G730" s="46"/>
      <c r="H730" s="46"/>
      <c r="I730" s="46"/>
    </row>
    <row r="731">
      <c r="A731" s="49"/>
      <c r="B731" s="46"/>
      <c r="C731" s="46"/>
      <c r="D731" s="46"/>
      <c r="E731" s="46"/>
      <c r="F731" s="46"/>
      <c r="G731" s="46"/>
      <c r="H731" s="46"/>
      <c r="I731" s="46"/>
    </row>
    <row r="732">
      <c r="A732" s="49"/>
      <c r="B732" s="46"/>
      <c r="C732" s="46"/>
      <c r="D732" s="46"/>
      <c r="E732" s="46"/>
      <c r="F732" s="46"/>
      <c r="G732" s="46"/>
      <c r="H732" s="46"/>
      <c r="I732" s="46"/>
    </row>
    <row r="733">
      <c r="A733" s="49"/>
      <c r="B733" s="46"/>
      <c r="C733" s="46"/>
      <c r="D733" s="46"/>
      <c r="E733" s="46"/>
      <c r="F733" s="46"/>
      <c r="G733" s="46"/>
      <c r="H733" s="46"/>
      <c r="I733" s="46"/>
    </row>
    <row r="734">
      <c r="A734" s="49"/>
      <c r="B734" s="46"/>
      <c r="C734" s="46"/>
      <c r="D734" s="46"/>
      <c r="E734" s="46"/>
      <c r="F734" s="46"/>
      <c r="G734" s="46"/>
      <c r="H734" s="46"/>
      <c r="I734" s="46"/>
    </row>
    <row r="735">
      <c r="A735" s="49"/>
      <c r="B735" s="46"/>
      <c r="C735" s="46"/>
      <c r="D735" s="46"/>
      <c r="E735" s="46"/>
      <c r="F735" s="46"/>
      <c r="G735" s="46"/>
      <c r="H735" s="46"/>
      <c r="I735" s="46"/>
    </row>
    <row r="736">
      <c r="A736" s="49"/>
      <c r="B736" s="46"/>
      <c r="C736" s="46"/>
      <c r="D736" s="46"/>
      <c r="E736" s="46"/>
      <c r="F736" s="46"/>
      <c r="G736" s="46"/>
      <c r="H736" s="46"/>
      <c r="I736" s="46"/>
    </row>
    <row r="737">
      <c r="A737" s="49"/>
      <c r="B737" s="46"/>
      <c r="C737" s="46"/>
      <c r="D737" s="46"/>
      <c r="E737" s="46"/>
      <c r="F737" s="46"/>
      <c r="G737" s="46"/>
      <c r="H737" s="46"/>
      <c r="I737" s="46"/>
    </row>
    <row r="738">
      <c r="A738" s="49"/>
      <c r="B738" s="46"/>
      <c r="C738" s="46"/>
      <c r="D738" s="46"/>
      <c r="E738" s="46"/>
      <c r="F738" s="46"/>
      <c r="G738" s="46"/>
      <c r="H738" s="46"/>
      <c r="I738" s="46"/>
    </row>
    <row r="739">
      <c r="A739" s="49"/>
      <c r="B739" s="46"/>
      <c r="C739" s="46"/>
      <c r="D739" s="46"/>
      <c r="E739" s="46"/>
      <c r="F739" s="46"/>
      <c r="G739" s="46"/>
      <c r="H739" s="46"/>
      <c r="I739" s="46"/>
    </row>
    <row r="740">
      <c r="A740" s="49"/>
      <c r="B740" s="46"/>
      <c r="C740" s="46"/>
      <c r="D740" s="46"/>
      <c r="E740" s="46"/>
      <c r="F740" s="46"/>
      <c r="G740" s="46"/>
      <c r="H740" s="46"/>
      <c r="I740" s="46"/>
    </row>
    <row r="741">
      <c r="A741" s="49"/>
      <c r="B741" s="46"/>
      <c r="C741" s="46"/>
      <c r="D741" s="46"/>
      <c r="E741" s="46"/>
      <c r="F741" s="46"/>
      <c r="G741" s="46"/>
      <c r="H741" s="46"/>
      <c r="I741" s="46"/>
    </row>
    <row r="742">
      <c r="A742" s="49"/>
      <c r="B742" s="46"/>
      <c r="C742" s="46"/>
      <c r="D742" s="46"/>
      <c r="E742" s="46"/>
      <c r="F742" s="46"/>
      <c r="G742" s="46"/>
      <c r="H742" s="46"/>
      <c r="I742" s="46"/>
    </row>
    <row r="743">
      <c r="A743" s="49"/>
      <c r="B743" s="46"/>
      <c r="C743" s="46"/>
      <c r="D743" s="46"/>
      <c r="E743" s="46"/>
      <c r="F743" s="46"/>
      <c r="G743" s="46"/>
      <c r="H743" s="46"/>
      <c r="I743" s="46"/>
    </row>
    <row r="744">
      <c r="A744" s="49"/>
      <c r="B744" s="46"/>
      <c r="C744" s="46"/>
      <c r="D744" s="46"/>
      <c r="E744" s="46"/>
      <c r="F744" s="46"/>
      <c r="G744" s="46"/>
      <c r="H744" s="46"/>
      <c r="I744" s="46"/>
    </row>
    <row r="745">
      <c r="A745" s="49"/>
      <c r="B745" s="46"/>
      <c r="C745" s="46"/>
      <c r="D745" s="46"/>
      <c r="E745" s="46"/>
      <c r="F745" s="46"/>
      <c r="G745" s="46"/>
      <c r="H745" s="46"/>
      <c r="I745" s="46"/>
    </row>
    <row r="746">
      <c r="A746" s="49"/>
      <c r="B746" s="46"/>
      <c r="C746" s="46"/>
      <c r="D746" s="46"/>
      <c r="E746" s="46"/>
      <c r="F746" s="46"/>
      <c r="G746" s="46"/>
      <c r="H746" s="46"/>
      <c r="I746" s="46"/>
    </row>
    <row r="747">
      <c r="A747" s="49"/>
      <c r="B747" s="46"/>
      <c r="C747" s="46"/>
      <c r="D747" s="46"/>
      <c r="E747" s="46"/>
      <c r="F747" s="46"/>
      <c r="G747" s="46"/>
      <c r="H747" s="46"/>
      <c r="I747" s="46"/>
    </row>
    <row r="748">
      <c r="A748" s="49"/>
      <c r="B748" s="46"/>
      <c r="C748" s="46"/>
      <c r="D748" s="46"/>
      <c r="E748" s="46"/>
      <c r="F748" s="46"/>
      <c r="G748" s="46"/>
      <c r="H748" s="46"/>
      <c r="I748" s="46"/>
    </row>
    <row r="749">
      <c r="A749" s="49"/>
      <c r="B749" s="46"/>
      <c r="C749" s="46"/>
      <c r="D749" s="46"/>
      <c r="E749" s="46"/>
      <c r="F749" s="46"/>
      <c r="G749" s="46"/>
      <c r="H749" s="46"/>
      <c r="I749" s="46"/>
    </row>
    <row r="750">
      <c r="A750" s="49"/>
      <c r="B750" s="46"/>
      <c r="C750" s="46"/>
      <c r="D750" s="46"/>
      <c r="E750" s="46"/>
      <c r="F750" s="46"/>
      <c r="G750" s="46"/>
      <c r="H750" s="46"/>
      <c r="I750" s="46"/>
    </row>
    <row r="751">
      <c r="A751" s="49"/>
      <c r="B751" s="46"/>
      <c r="C751" s="46"/>
      <c r="D751" s="46"/>
      <c r="E751" s="46"/>
      <c r="F751" s="46"/>
      <c r="G751" s="46"/>
      <c r="H751" s="46"/>
      <c r="I751" s="46"/>
    </row>
    <row r="752">
      <c r="A752" s="49"/>
      <c r="B752" s="46"/>
      <c r="C752" s="46"/>
      <c r="D752" s="46"/>
      <c r="E752" s="46"/>
      <c r="F752" s="46"/>
      <c r="G752" s="46"/>
      <c r="H752" s="46"/>
      <c r="I752" s="46"/>
    </row>
    <row r="753">
      <c r="A753" s="49"/>
      <c r="B753" s="46"/>
      <c r="C753" s="46"/>
      <c r="D753" s="46"/>
      <c r="E753" s="46"/>
      <c r="F753" s="46"/>
      <c r="G753" s="46"/>
      <c r="H753" s="46"/>
      <c r="I753" s="46"/>
    </row>
    <row r="754">
      <c r="A754" s="49"/>
      <c r="B754" s="46"/>
      <c r="C754" s="46"/>
      <c r="D754" s="46"/>
      <c r="E754" s="46"/>
      <c r="F754" s="46"/>
      <c r="G754" s="46"/>
      <c r="H754" s="46"/>
      <c r="I754" s="46"/>
    </row>
    <row r="755">
      <c r="A755" s="49"/>
      <c r="B755" s="46"/>
      <c r="C755" s="46"/>
      <c r="D755" s="46"/>
      <c r="E755" s="46"/>
      <c r="F755" s="46"/>
      <c r="G755" s="46"/>
      <c r="H755" s="46"/>
      <c r="I755" s="46"/>
    </row>
    <row r="756">
      <c r="A756" s="49"/>
      <c r="B756" s="46"/>
      <c r="C756" s="46"/>
      <c r="D756" s="46"/>
      <c r="E756" s="46"/>
      <c r="F756" s="46"/>
      <c r="G756" s="46"/>
      <c r="H756" s="46"/>
      <c r="I756" s="46"/>
    </row>
    <row r="757">
      <c r="A757" s="49"/>
      <c r="B757" s="46"/>
      <c r="C757" s="46"/>
      <c r="D757" s="46"/>
      <c r="E757" s="46"/>
      <c r="F757" s="46"/>
      <c r="G757" s="46"/>
      <c r="H757" s="46"/>
      <c r="I757" s="46"/>
    </row>
    <row r="758">
      <c r="A758" s="49"/>
      <c r="B758" s="46"/>
      <c r="C758" s="46"/>
      <c r="D758" s="46"/>
      <c r="E758" s="46"/>
      <c r="F758" s="46"/>
      <c r="G758" s="46"/>
      <c r="H758" s="46"/>
      <c r="I758" s="46"/>
    </row>
    <row r="759">
      <c r="A759" s="49"/>
      <c r="B759" s="46"/>
      <c r="C759" s="46"/>
      <c r="D759" s="46"/>
      <c r="E759" s="46"/>
      <c r="F759" s="46"/>
      <c r="G759" s="46"/>
      <c r="H759" s="46"/>
      <c r="I759" s="46"/>
    </row>
    <row r="760">
      <c r="A760" s="49"/>
      <c r="B760" s="46"/>
      <c r="C760" s="46"/>
      <c r="D760" s="46"/>
      <c r="E760" s="46"/>
      <c r="F760" s="46"/>
      <c r="G760" s="46"/>
      <c r="H760" s="46"/>
      <c r="I760" s="46"/>
    </row>
    <row r="761">
      <c r="A761" s="49"/>
      <c r="B761" s="46"/>
      <c r="C761" s="46"/>
      <c r="D761" s="46"/>
      <c r="E761" s="46"/>
      <c r="F761" s="46"/>
      <c r="G761" s="46"/>
      <c r="H761" s="46"/>
      <c r="I761" s="46"/>
    </row>
    <row r="762">
      <c r="A762" s="49"/>
      <c r="B762" s="46"/>
      <c r="C762" s="46"/>
      <c r="D762" s="46"/>
      <c r="E762" s="46"/>
      <c r="F762" s="46"/>
      <c r="G762" s="46"/>
      <c r="H762" s="46"/>
      <c r="I762" s="46"/>
    </row>
    <row r="763">
      <c r="A763" s="49"/>
      <c r="B763" s="46"/>
      <c r="C763" s="46"/>
      <c r="D763" s="46"/>
      <c r="E763" s="46"/>
      <c r="F763" s="46"/>
      <c r="G763" s="46"/>
      <c r="H763" s="46"/>
      <c r="I763" s="46"/>
    </row>
    <row r="764">
      <c r="A764" s="49"/>
      <c r="B764" s="46"/>
      <c r="C764" s="46"/>
      <c r="D764" s="46"/>
      <c r="E764" s="46"/>
      <c r="F764" s="46"/>
      <c r="G764" s="46"/>
      <c r="H764" s="46"/>
      <c r="I764" s="46"/>
    </row>
    <row r="765">
      <c r="A765" s="49"/>
      <c r="B765" s="46"/>
      <c r="C765" s="46"/>
      <c r="D765" s="46"/>
      <c r="E765" s="46"/>
      <c r="F765" s="46"/>
      <c r="G765" s="46"/>
      <c r="H765" s="46"/>
      <c r="I765" s="46"/>
    </row>
    <row r="766">
      <c r="A766" s="49"/>
      <c r="B766" s="46"/>
      <c r="C766" s="46"/>
      <c r="D766" s="46"/>
      <c r="E766" s="46"/>
      <c r="F766" s="46"/>
      <c r="G766" s="46"/>
      <c r="H766" s="46"/>
      <c r="I766" s="46"/>
    </row>
    <row r="767">
      <c r="A767" s="49"/>
      <c r="B767" s="46"/>
      <c r="C767" s="46"/>
      <c r="D767" s="46"/>
      <c r="E767" s="46"/>
      <c r="F767" s="46"/>
      <c r="G767" s="46"/>
      <c r="H767" s="46"/>
      <c r="I767" s="46"/>
    </row>
    <row r="768">
      <c r="A768" s="49"/>
      <c r="B768" s="46"/>
      <c r="C768" s="46"/>
      <c r="D768" s="46"/>
      <c r="E768" s="46"/>
      <c r="F768" s="46"/>
      <c r="G768" s="46"/>
      <c r="H768" s="46"/>
      <c r="I768" s="46"/>
    </row>
    <row r="769">
      <c r="A769" s="49"/>
      <c r="B769" s="46"/>
      <c r="C769" s="46"/>
      <c r="D769" s="46"/>
      <c r="E769" s="46"/>
      <c r="F769" s="46"/>
      <c r="G769" s="46"/>
      <c r="H769" s="46"/>
      <c r="I769" s="46"/>
    </row>
    <row r="770">
      <c r="A770" s="49"/>
      <c r="B770" s="46"/>
      <c r="C770" s="46"/>
      <c r="D770" s="46"/>
      <c r="E770" s="46"/>
      <c r="F770" s="46"/>
      <c r="G770" s="46"/>
      <c r="H770" s="46"/>
      <c r="I770" s="46"/>
    </row>
    <row r="771">
      <c r="A771" s="49"/>
      <c r="B771" s="46"/>
      <c r="C771" s="46"/>
      <c r="D771" s="46"/>
      <c r="E771" s="46"/>
      <c r="F771" s="46"/>
      <c r="G771" s="46"/>
      <c r="H771" s="46"/>
      <c r="I771" s="46"/>
    </row>
    <row r="772">
      <c r="A772" s="49"/>
      <c r="B772" s="46"/>
      <c r="C772" s="46"/>
      <c r="D772" s="46"/>
      <c r="E772" s="46"/>
      <c r="F772" s="46"/>
      <c r="G772" s="46"/>
      <c r="H772" s="46"/>
      <c r="I772" s="46"/>
    </row>
    <row r="773">
      <c r="A773" s="49"/>
      <c r="B773" s="46"/>
      <c r="C773" s="46"/>
      <c r="D773" s="46"/>
      <c r="E773" s="46"/>
      <c r="F773" s="46"/>
      <c r="G773" s="46"/>
      <c r="H773" s="46"/>
      <c r="I773" s="46"/>
    </row>
    <row r="774">
      <c r="A774" s="49"/>
      <c r="B774" s="46"/>
      <c r="C774" s="46"/>
      <c r="D774" s="46"/>
      <c r="E774" s="46"/>
      <c r="F774" s="46"/>
      <c r="G774" s="46"/>
      <c r="H774" s="46"/>
      <c r="I774" s="46"/>
    </row>
    <row r="775">
      <c r="A775" s="49"/>
      <c r="B775" s="46"/>
      <c r="C775" s="46"/>
      <c r="D775" s="46"/>
      <c r="E775" s="46"/>
      <c r="F775" s="46"/>
      <c r="G775" s="46"/>
      <c r="H775" s="46"/>
      <c r="I775" s="46"/>
    </row>
    <row r="776">
      <c r="A776" s="49"/>
      <c r="B776" s="46"/>
      <c r="C776" s="46"/>
      <c r="D776" s="46"/>
      <c r="E776" s="46"/>
      <c r="F776" s="46"/>
      <c r="G776" s="46"/>
      <c r="H776" s="46"/>
      <c r="I776" s="46"/>
    </row>
    <row r="777">
      <c r="A777" s="49"/>
      <c r="B777" s="46"/>
      <c r="C777" s="46"/>
      <c r="D777" s="46"/>
      <c r="E777" s="46"/>
      <c r="F777" s="46"/>
      <c r="G777" s="46"/>
      <c r="H777" s="46"/>
      <c r="I777" s="46"/>
    </row>
    <row r="778">
      <c r="A778" s="49"/>
      <c r="B778" s="46"/>
      <c r="C778" s="46"/>
      <c r="D778" s="46"/>
      <c r="E778" s="46"/>
      <c r="F778" s="46"/>
      <c r="G778" s="46"/>
      <c r="H778" s="46"/>
      <c r="I778" s="46"/>
    </row>
    <row r="779">
      <c r="A779" s="49"/>
      <c r="B779" s="46"/>
      <c r="C779" s="46"/>
      <c r="D779" s="46"/>
      <c r="E779" s="46"/>
      <c r="F779" s="46"/>
      <c r="G779" s="46"/>
      <c r="H779" s="46"/>
      <c r="I779" s="46"/>
    </row>
    <row r="780">
      <c r="A780" s="49"/>
      <c r="B780" s="46"/>
      <c r="C780" s="46"/>
      <c r="D780" s="46"/>
      <c r="E780" s="46"/>
      <c r="F780" s="46"/>
      <c r="G780" s="46"/>
      <c r="H780" s="46"/>
      <c r="I780" s="46"/>
    </row>
    <row r="781">
      <c r="A781" s="49"/>
      <c r="B781" s="46"/>
      <c r="C781" s="46"/>
      <c r="D781" s="46"/>
      <c r="E781" s="46"/>
      <c r="F781" s="46"/>
      <c r="G781" s="46"/>
      <c r="H781" s="46"/>
      <c r="I781" s="46"/>
    </row>
    <row r="782">
      <c r="A782" s="49"/>
      <c r="B782" s="46"/>
      <c r="C782" s="46"/>
      <c r="D782" s="46"/>
      <c r="E782" s="46"/>
      <c r="F782" s="46"/>
      <c r="G782" s="46"/>
      <c r="H782" s="46"/>
      <c r="I782" s="46"/>
    </row>
    <row r="783">
      <c r="A783" s="49"/>
      <c r="B783" s="46"/>
      <c r="C783" s="46"/>
      <c r="D783" s="46"/>
      <c r="E783" s="46"/>
      <c r="F783" s="46"/>
      <c r="G783" s="46"/>
      <c r="H783" s="46"/>
      <c r="I783" s="46"/>
    </row>
    <row r="784">
      <c r="A784" s="49"/>
      <c r="B784" s="46"/>
      <c r="C784" s="46"/>
      <c r="D784" s="46"/>
      <c r="E784" s="46"/>
      <c r="F784" s="46"/>
      <c r="G784" s="46"/>
      <c r="H784" s="46"/>
      <c r="I784" s="46"/>
    </row>
    <row r="785">
      <c r="A785" s="49"/>
      <c r="B785" s="46"/>
      <c r="C785" s="46"/>
      <c r="D785" s="46"/>
      <c r="E785" s="46"/>
      <c r="F785" s="46"/>
      <c r="G785" s="46"/>
      <c r="H785" s="46"/>
      <c r="I785" s="46"/>
    </row>
    <row r="786">
      <c r="A786" s="49"/>
      <c r="B786" s="46"/>
      <c r="C786" s="46"/>
      <c r="D786" s="46"/>
      <c r="E786" s="46"/>
      <c r="F786" s="46"/>
      <c r="G786" s="46"/>
      <c r="H786" s="46"/>
      <c r="I786" s="46"/>
    </row>
    <row r="787">
      <c r="A787" s="49"/>
      <c r="B787" s="46"/>
      <c r="C787" s="46"/>
      <c r="D787" s="46"/>
      <c r="E787" s="46"/>
      <c r="F787" s="46"/>
      <c r="G787" s="46"/>
      <c r="H787" s="46"/>
      <c r="I787" s="46"/>
    </row>
    <row r="788">
      <c r="A788" s="49"/>
      <c r="B788" s="46"/>
      <c r="C788" s="46"/>
      <c r="D788" s="46"/>
      <c r="E788" s="46"/>
      <c r="F788" s="46"/>
      <c r="G788" s="46"/>
      <c r="H788" s="46"/>
      <c r="I788" s="46"/>
    </row>
    <row r="789">
      <c r="A789" s="49"/>
      <c r="B789" s="46"/>
      <c r="C789" s="46"/>
      <c r="D789" s="46"/>
      <c r="E789" s="46"/>
      <c r="F789" s="46"/>
      <c r="G789" s="46"/>
      <c r="H789" s="46"/>
      <c r="I789" s="46"/>
    </row>
    <row r="790">
      <c r="A790" s="49"/>
      <c r="B790" s="46"/>
      <c r="C790" s="46"/>
      <c r="D790" s="46"/>
      <c r="E790" s="46"/>
      <c r="F790" s="46"/>
      <c r="G790" s="46"/>
      <c r="H790" s="46"/>
      <c r="I790" s="46"/>
    </row>
    <row r="791">
      <c r="A791" s="49"/>
      <c r="B791" s="46"/>
      <c r="C791" s="46"/>
      <c r="D791" s="46"/>
      <c r="E791" s="46"/>
      <c r="F791" s="46"/>
      <c r="G791" s="46"/>
      <c r="H791" s="46"/>
      <c r="I791" s="46"/>
    </row>
    <row r="792">
      <c r="A792" s="49"/>
      <c r="B792" s="46"/>
      <c r="C792" s="46"/>
      <c r="D792" s="46"/>
      <c r="E792" s="46"/>
      <c r="F792" s="46"/>
      <c r="G792" s="46"/>
      <c r="H792" s="46"/>
      <c r="I792" s="46"/>
    </row>
    <row r="793">
      <c r="A793" s="49"/>
      <c r="B793" s="46"/>
      <c r="C793" s="46"/>
      <c r="D793" s="46"/>
      <c r="E793" s="46"/>
      <c r="F793" s="46"/>
      <c r="G793" s="46"/>
      <c r="H793" s="46"/>
      <c r="I793" s="46"/>
    </row>
    <row r="794">
      <c r="A794" s="49"/>
      <c r="B794" s="46"/>
      <c r="C794" s="46"/>
      <c r="D794" s="46"/>
      <c r="E794" s="46"/>
      <c r="F794" s="46"/>
      <c r="G794" s="46"/>
      <c r="H794" s="46"/>
      <c r="I794" s="46"/>
    </row>
    <row r="795">
      <c r="A795" s="49"/>
      <c r="B795" s="46"/>
      <c r="C795" s="46"/>
      <c r="D795" s="46"/>
      <c r="E795" s="46"/>
      <c r="F795" s="46"/>
      <c r="G795" s="46"/>
      <c r="H795" s="46"/>
      <c r="I795" s="46"/>
    </row>
    <row r="796">
      <c r="A796" s="49"/>
      <c r="B796" s="46"/>
      <c r="C796" s="46"/>
      <c r="D796" s="46"/>
      <c r="E796" s="46"/>
      <c r="F796" s="46"/>
      <c r="G796" s="46"/>
      <c r="H796" s="46"/>
      <c r="I796" s="46"/>
    </row>
    <row r="797">
      <c r="A797" s="49"/>
      <c r="B797" s="46"/>
      <c r="C797" s="46"/>
      <c r="D797" s="46"/>
      <c r="E797" s="46"/>
      <c r="F797" s="46"/>
      <c r="G797" s="46"/>
      <c r="H797" s="46"/>
      <c r="I797" s="46"/>
    </row>
    <row r="798">
      <c r="A798" s="49"/>
      <c r="B798" s="46"/>
      <c r="C798" s="46"/>
      <c r="D798" s="46"/>
      <c r="E798" s="46"/>
      <c r="F798" s="46"/>
      <c r="G798" s="46"/>
      <c r="H798" s="46"/>
      <c r="I798" s="46"/>
    </row>
    <row r="799">
      <c r="A799" s="49"/>
      <c r="B799" s="46"/>
      <c r="C799" s="46"/>
      <c r="D799" s="46"/>
      <c r="E799" s="46"/>
      <c r="F799" s="46"/>
      <c r="G799" s="46"/>
      <c r="H799" s="46"/>
      <c r="I799" s="46"/>
    </row>
    <row r="800">
      <c r="A800" s="49"/>
      <c r="B800" s="46"/>
      <c r="C800" s="46"/>
      <c r="D800" s="46"/>
      <c r="E800" s="46"/>
      <c r="F800" s="46"/>
      <c r="G800" s="46"/>
      <c r="H800" s="46"/>
      <c r="I800" s="46"/>
    </row>
    <row r="801">
      <c r="A801" s="49"/>
      <c r="B801" s="46"/>
      <c r="C801" s="46"/>
      <c r="D801" s="46"/>
      <c r="E801" s="46"/>
      <c r="F801" s="46"/>
      <c r="G801" s="46"/>
      <c r="H801" s="46"/>
      <c r="I801" s="46"/>
    </row>
    <row r="802">
      <c r="A802" s="49"/>
      <c r="B802" s="46"/>
      <c r="C802" s="46"/>
      <c r="D802" s="46"/>
      <c r="E802" s="46"/>
      <c r="F802" s="46"/>
      <c r="G802" s="46"/>
      <c r="H802" s="46"/>
      <c r="I802" s="46"/>
    </row>
    <row r="803">
      <c r="A803" s="49"/>
      <c r="B803" s="46"/>
      <c r="C803" s="46"/>
      <c r="D803" s="46"/>
      <c r="E803" s="46"/>
      <c r="F803" s="46"/>
      <c r="G803" s="46"/>
      <c r="H803" s="46"/>
      <c r="I803" s="46"/>
    </row>
    <row r="804">
      <c r="A804" s="49"/>
      <c r="B804" s="46"/>
      <c r="C804" s="46"/>
      <c r="D804" s="46"/>
      <c r="E804" s="46"/>
      <c r="F804" s="46"/>
      <c r="G804" s="46"/>
      <c r="H804" s="46"/>
      <c r="I804" s="46"/>
    </row>
    <row r="805">
      <c r="A805" s="49"/>
      <c r="B805" s="46"/>
      <c r="C805" s="46"/>
      <c r="D805" s="46"/>
      <c r="E805" s="46"/>
      <c r="F805" s="46"/>
      <c r="G805" s="46"/>
      <c r="H805" s="46"/>
      <c r="I805" s="46"/>
    </row>
    <row r="806">
      <c r="A806" s="49"/>
      <c r="B806" s="46"/>
      <c r="C806" s="46"/>
      <c r="D806" s="46"/>
      <c r="E806" s="46"/>
      <c r="F806" s="46"/>
      <c r="G806" s="46"/>
      <c r="H806" s="46"/>
      <c r="I806" s="46"/>
    </row>
    <row r="807">
      <c r="A807" s="49"/>
      <c r="B807" s="46"/>
      <c r="C807" s="46"/>
      <c r="D807" s="46"/>
      <c r="E807" s="46"/>
      <c r="F807" s="46"/>
      <c r="G807" s="46"/>
      <c r="H807" s="46"/>
      <c r="I807" s="46"/>
    </row>
    <row r="808">
      <c r="A808" s="49"/>
      <c r="B808" s="46"/>
      <c r="C808" s="46"/>
      <c r="D808" s="46"/>
      <c r="E808" s="46"/>
      <c r="F808" s="46"/>
      <c r="G808" s="46"/>
      <c r="H808" s="46"/>
      <c r="I808" s="46"/>
    </row>
    <row r="809">
      <c r="A809" s="49"/>
      <c r="B809" s="46"/>
      <c r="C809" s="46"/>
      <c r="D809" s="46"/>
      <c r="E809" s="46"/>
      <c r="F809" s="46"/>
      <c r="G809" s="46"/>
      <c r="H809" s="46"/>
      <c r="I809" s="46"/>
    </row>
    <row r="810">
      <c r="A810" s="49"/>
      <c r="B810" s="46"/>
      <c r="C810" s="46"/>
      <c r="D810" s="46"/>
      <c r="E810" s="46"/>
      <c r="F810" s="46"/>
      <c r="G810" s="46"/>
      <c r="H810" s="46"/>
      <c r="I810" s="46"/>
    </row>
    <row r="811">
      <c r="A811" s="49"/>
      <c r="B811" s="46"/>
      <c r="C811" s="46"/>
      <c r="D811" s="46"/>
      <c r="E811" s="46"/>
      <c r="F811" s="46"/>
      <c r="G811" s="46"/>
      <c r="H811" s="46"/>
      <c r="I811" s="46"/>
    </row>
    <row r="812">
      <c r="A812" s="49"/>
      <c r="B812" s="46"/>
      <c r="C812" s="46"/>
      <c r="D812" s="46"/>
      <c r="E812" s="46"/>
      <c r="F812" s="46"/>
      <c r="G812" s="46"/>
      <c r="H812" s="46"/>
      <c r="I812" s="46"/>
    </row>
    <row r="813">
      <c r="A813" s="49"/>
      <c r="B813" s="46"/>
      <c r="C813" s="46"/>
      <c r="D813" s="46"/>
      <c r="E813" s="46"/>
      <c r="F813" s="46"/>
      <c r="G813" s="46"/>
      <c r="H813" s="46"/>
      <c r="I813" s="46"/>
    </row>
    <row r="814">
      <c r="A814" s="49"/>
      <c r="B814" s="46"/>
      <c r="C814" s="46"/>
      <c r="D814" s="46"/>
      <c r="E814" s="46"/>
      <c r="F814" s="46"/>
      <c r="G814" s="46"/>
      <c r="H814" s="46"/>
      <c r="I814" s="46"/>
    </row>
    <row r="815">
      <c r="A815" s="49"/>
      <c r="B815" s="46"/>
      <c r="C815" s="46"/>
      <c r="D815" s="46"/>
      <c r="E815" s="46"/>
      <c r="F815" s="46"/>
      <c r="G815" s="46"/>
      <c r="H815" s="46"/>
      <c r="I815" s="46"/>
    </row>
    <row r="816">
      <c r="A816" s="49"/>
      <c r="B816" s="46"/>
      <c r="C816" s="46"/>
      <c r="D816" s="46"/>
      <c r="E816" s="46"/>
      <c r="F816" s="46"/>
      <c r="G816" s="46"/>
      <c r="H816" s="46"/>
      <c r="I816" s="46"/>
    </row>
    <row r="817">
      <c r="A817" s="49"/>
      <c r="B817" s="46"/>
      <c r="C817" s="46"/>
      <c r="D817" s="46"/>
      <c r="E817" s="46"/>
      <c r="F817" s="46"/>
      <c r="G817" s="46"/>
      <c r="H817" s="46"/>
      <c r="I817" s="46"/>
    </row>
    <row r="818">
      <c r="A818" s="49"/>
      <c r="B818" s="46"/>
      <c r="C818" s="46"/>
      <c r="D818" s="46"/>
      <c r="E818" s="46"/>
      <c r="F818" s="46"/>
      <c r="G818" s="46"/>
      <c r="H818" s="46"/>
      <c r="I818" s="46"/>
    </row>
    <row r="819">
      <c r="A819" s="49"/>
      <c r="B819" s="46"/>
      <c r="C819" s="46"/>
      <c r="D819" s="46"/>
      <c r="E819" s="46"/>
      <c r="F819" s="46"/>
      <c r="G819" s="46"/>
      <c r="H819" s="46"/>
      <c r="I819" s="46"/>
    </row>
    <row r="820">
      <c r="A820" s="49"/>
      <c r="B820" s="46"/>
      <c r="C820" s="46"/>
      <c r="D820" s="46"/>
      <c r="E820" s="46"/>
      <c r="F820" s="46"/>
      <c r="G820" s="46"/>
      <c r="H820" s="46"/>
      <c r="I820" s="46"/>
    </row>
    <row r="821">
      <c r="A821" s="49"/>
      <c r="B821" s="46"/>
      <c r="C821" s="46"/>
      <c r="D821" s="46"/>
      <c r="E821" s="46"/>
      <c r="F821" s="46"/>
      <c r="G821" s="46"/>
      <c r="H821" s="46"/>
      <c r="I821" s="46"/>
    </row>
    <row r="822">
      <c r="A822" s="49"/>
      <c r="B822" s="46"/>
      <c r="C822" s="46"/>
      <c r="D822" s="46"/>
      <c r="E822" s="46"/>
      <c r="F822" s="46"/>
      <c r="G822" s="46"/>
      <c r="H822" s="46"/>
      <c r="I822" s="46"/>
    </row>
    <row r="823">
      <c r="A823" s="49"/>
      <c r="B823" s="46"/>
      <c r="C823" s="46"/>
      <c r="D823" s="46"/>
      <c r="E823" s="46"/>
      <c r="F823" s="46"/>
      <c r="G823" s="46"/>
      <c r="H823" s="46"/>
      <c r="I823" s="46"/>
    </row>
    <row r="824">
      <c r="A824" s="49"/>
      <c r="B824" s="46"/>
      <c r="C824" s="46"/>
      <c r="D824" s="46"/>
      <c r="E824" s="46"/>
      <c r="F824" s="46"/>
      <c r="G824" s="46"/>
      <c r="H824" s="46"/>
      <c r="I824" s="46"/>
    </row>
    <row r="825">
      <c r="A825" s="49"/>
      <c r="B825" s="46"/>
      <c r="C825" s="46"/>
      <c r="D825" s="46"/>
      <c r="E825" s="46"/>
      <c r="F825" s="46"/>
      <c r="G825" s="46"/>
      <c r="H825" s="46"/>
      <c r="I825" s="46"/>
    </row>
    <row r="826">
      <c r="A826" s="49"/>
      <c r="B826" s="46"/>
      <c r="C826" s="46"/>
      <c r="D826" s="46"/>
      <c r="E826" s="46"/>
      <c r="F826" s="46"/>
      <c r="G826" s="46"/>
      <c r="H826" s="46"/>
      <c r="I826" s="46"/>
    </row>
    <row r="827">
      <c r="A827" s="49"/>
      <c r="B827" s="46"/>
      <c r="C827" s="46"/>
      <c r="D827" s="46"/>
      <c r="E827" s="46"/>
      <c r="F827" s="46"/>
      <c r="G827" s="46"/>
      <c r="H827" s="46"/>
      <c r="I827" s="46"/>
    </row>
    <row r="828">
      <c r="A828" s="49"/>
      <c r="B828" s="46"/>
      <c r="C828" s="46"/>
      <c r="D828" s="46"/>
      <c r="E828" s="46"/>
      <c r="F828" s="46"/>
      <c r="G828" s="46"/>
      <c r="H828" s="46"/>
      <c r="I828" s="46"/>
    </row>
    <row r="829">
      <c r="A829" s="49"/>
      <c r="B829" s="46"/>
      <c r="C829" s="46"/>
      <c r="D829" s="46"/>
      <c r="E829" s="46"/>
      <c r="F829" s="46"/>
      <c r="G829" s="46"/>
      <c r="H829" s="46"/>
      <c r="I829" s="46"/>
    </row>
    <row r="830">
      <c r="A830" s="49"/>
      <c r="B830" s="46"/>
      <c r="C830" s="46"/>
      <c r="D830" s="46"/>
      <c r="E830" s="46"/>
      <c r="F830" s="46"/>
      <c r="G830" s="46"/>
      <c r="H830" s="46"/>
      <c r="I830" s="46"/>
    </row>
    <row r="831">
      <c r="A831" s="49"/>
      <c r="B831" s="46"/>
      <c r="C831" s="46"/>
      <c r="D831" s="46"/>
      <c r="E831" s="46"/>
      <c r="F831" s="46"/>
      <c r="G831" s="46"/>
      <c r="H831" s="46"/>
      <c r="I831" s="46"/>
    </row>
    <row r="832">
      <c r="A832" s="49"/>
      <c r="B832" s="46"/>
      <c r="C832" s="46"/>
      <c r="D832" s="46"/>
      <c r="E832" s="46"/>
      <c r="F832" s="46"/>
      <c r="G832" s="46"/>
      <c r="H832" s="46"/>
      <c r="I832" s="46"/>
    </row>
    <row r="833">
      <c r="A833" s="49"/>
      <c r="B833" s="46"/>
      <c r="C833" s="46"/>
      <c r="D833" s="46"/>
      <c r="E833" s="46"/>
      <c r="F833" s="46"/>
      <c r="G833" s="46"/>
      <c r="H833" s="46"/>
      <c r="I833" s="46"/>
    </row>
    <row r="834">
      <c r="A834" s="49"/>
      <c r="B834" s="46"/>
      <c r="C834" s="46"/>
      <c r="D834" s="46"/>
      <c r="E834" s="46"/>
      <c r="F834" s="46"/>
      <c r="G834" s="46"/>
      <c r="H834" s="46"/>
      <c r="I834" s="46"/>
    </row>
    <row r="835">
      <c r="A835" s="49"/>
      <c r="B835" s="46"/>
      <c r="C835" s="46"/>
      <c r="D835" s="46"/>
      <c r="E835" s="46"/>
      <c r="F835" s="46"/>
      <c r="G835" s="46"/>
      <c r="H835" s="46"/>
      <c r="I835" s="46"/>
    </row>
    <row r="836">
      <c r="A836" s="49"/>
      <c r="B836" s="46"/>
      <c r="C836" s="46"/>
      <c r="D836" s="46"/>
      <c r="E836" s="46"/>
      <c r="F836" s="46"/>
      <c r="G836" s="46"/>
      <c r="H836" s="46"/>
      <c r="I836" s="46"/>
    </row>
    <row r="837">
      <c r="A837" s="49"/>
      <c r="B837" s="46"/>
      <c r="C837" s="46"/>
      <c r="D837" s="46"/>
      <c r="E837" s="46"/>
      <c r="F837" s="46"/>
      <c r="G837" s="46"/>
      <c r="H837" s="46"/>
      <c r="I837" s="46"/>
    </row>
    <row r="838">
      <c r="A838" s="49"/>
      <c r="B838" s="46"/>
      <c r="C838" s="46"/>
      <c r="D838" s="46"/>
      <c r="E838" s="46"/>
      <c r="F838" s="46"/>
      <c r="G838" s="46"/>
      <c r="H838" s="46"/>
      <c r="I838" s="46"/>
    </row>
    <row r="839">
      <c r="A839" s="49"/>
      <c r="B839" s="46"/>
      <c r="C839" s="46"/>
      <c r="D839" s="46"/>
      <c r="E839" s="46"/>
      <c r="F839" s="46"/>
      <c r="G839" s="46"/>
      <c r="H839" s="46"/>
      <c r="I839" s="46"/>
    </row>
    <row r="840">
      <c r="A840" s="49"/>
      <c r="B840" s="46"/>
      <c r="C840" s="46"/>
      <c r="D840" s="46"/>
      <c r="E840" s="46"/>
      <c r="F840" s="46"/>
      <c r="G840" s="46"/>
      <c r="H840" s="46"/>
      <c r="I840" s="46"/>
    </row>
    <row r="841">
      <c r="A841" s="49"/>
      <c r="B841" s="46"/>
      <c r="C841" s="46"/>
      <c r="D841" s="46"/>
      <c r="E841" s="46"/>
      <c r="F841" s="46"/>
      <c r="G841" s="46"/>
      <c r="H841" s="46"/>
      <c r="I841" s="46"/>
    </row>
    <row r="842">
      <c r="A842" s="49"/>
      <c r="B842" s="46"/>
      <c r="C842" s="46"/>
      <c r="D842" s="46"/>
      <c r="E842" s="46"/>
      <c r="F842" s="46"/>
      <c r="G842" s="46"/>
      <c r="H842" s="46"/>
      <c r="I842" s="46"/>
    </row>
    <row r="843">
      <c r="A843" s="49"/>
      <c r="B843" s="46"/>
      <c r="C843" s="46"/>
      <c r="D843" s="46"/>
      <c r="E843" s="46"/>
      <c r="F843" s="46"/>
      <c r="G843" s="46"/>
      <c r="H843" s="46"/>
      <c r="I843" s="46"/>
    </row>
    <row r="844">
      <c r="A844" s="49"/>
      <c r="B844" s="46"/>
      <c r="C844" s="46"/>
      <c r="D844" s="46"/>
      <c r="E844" s="46"/>
      <c r="F844" s="46"/>
      <c r="G844" s="46"/>
      <c r="H844" s="46"/>
      <c r="I844" s="46"/>
    </row>
    <row r="845">
      <c r="A845" s="49"/>
      <c r="B845" s="46"/>
      <c r="C845" s="46"/>
      <c r="D845" s="46"/>
      <c r="E845" s="46"/>
      <c r="F845" s="46"/>
      <c r="G845" s="46"/>
      <c r="H845" s="46"/>
      <c r="I845" s="46"/>
    </row>
    <row r="846">
      <c r="A846" s="49"/>
      <c r="B846" s="46"/>
      <c r="C846" s="46"/>
      <c r="D846" s="46"/>
      <c r="E846" s="46"/>
      <c r="F846" s="46"/>
      <c r="G846" s="46"/>
      <c r="H846" s="46"/>
      <c r="I846" s="46"/>
    </row>
    <row r="847">
      <c r="A847" s="49"/>
      <c r="B847" s="46"/>
      <c r="C847" s="46"/>
      <c r="D847" s="46"/>
      <c r="E847" s="46"/>
      <c r="F847" s="46"/>
      <c r="G847" s="46"/>
      <c r="H847" s="46"/>
      <c r="I847" s="46"/>
    </row>
    <row r="848">
      <c r="A848" s="49"/>
      <c r="B848" s="46"/>
      <c r="C848" s="46"/>
      <c r="D848" s="46"/>
      <c r="E848" s="46"/>
      <c r="F848" s="46"/>
      <c r="G848" s="46"/>
      <c r="H848" s="46"/>
      <c r="I848" s="46"/>
    </row>
    <row r="849">
      <c r="A849" s="49"/>
      <c r="B849" s="46"/>
      <c r="C849" s="46"/>
      <c r="D849" s="46"/>
      <c r="E849" s="46"/>
      <c r="F849" s="46"/>
      <c r="G849" s="46"/>
      <c r="H849" s="46"/>
      <c r="I849" s="46"/>
    </row>
    <row r="850">
      <c r="A850" s="49"/>
      <c r="B850" s="46"/>
      <c r="C850" s="46"/>
      <c r="D850" s="46"/>
      <c r="E850" s="46"/>
      <c r="F850" s="46"/>
      <c r="G850" s="46"/>
      <c r="H850" s="46"/>
      <c r="I850" s="46"/>
    </row>
    <row r="851">
      <c r="A851" s="49"/>
      <c r="B851" s="46"/>
      <c r="C851" s="46"/>
      <c r="D851" s="46"/>
      <c r="E851" s="46"/>
      <c r="F851" s="46"/>
      <c r="G851" s="46"/>
      <c r="H851" s="46"/>
      <c r="I851" s="46"/>
    </row>
    <row r="852">
      <c r="A852" s="49"/>
      <c r="B852" s="46"/>
      <c r="C852" s="46"/>
      <c r="D852" s="46"/>
      <c r="E852" s="46"/>
      <c r="F852" s="46"/>
      <c r="G852" s="46"/>
      <c r="H852" s="46"/>
      <c r="I852" s="46"/>
    </row>
    <row r="853">
      <c r="A853" s="49"/>
      <c r="B853" s="46"/>
      <c r="C853" s="46"/>
      <c r="D853" s="46"/>
      <c r="E853" s="46"/>
      <c r="F853" s="46"/>
      <c r="G853" s="46"/>
      <c r="H853" s="46"/>
      <c r="I853" s="46"/>
    </row>
    <row r="854">
      <c r="A854" s="49"/>
      <c r="B854" s="46"/>
      <c r="C854" s="46"/>
      <c r="D854" s="46"/>
      <c r="E854" s="46"/>
      <c r="F854" s="46"/>
      <c r="G854" s="46"/>
      <c r="H854" s="46"/>
      <c r="I854" s="46"/>
    </row>
    <row r="855">
      <c r="A855" s="49"/>
      <c r="B855" s="46"/>
      <c r="C855" s="46"/>
      <c r="D855" s="46"/>
      <c r="E855" s="46"/>
      <c r="F855" s="46"/>
      <c r="G855" s="46"/>
      <c r="H855" s="46"/>
      <c r="I855" s="46"/>
    </row>
    <row r="856">
      <c r="A856" s="49"/>
      <c r="B856" s="46"/>
      <c r="C856" s="46"/>
      <c r="D856" s="46"/>
      <c r="E856" s="46"/>
      <c r="F856" s="46"/>
      <c r="G856" s="46"/>
      <c r="H856" s="46"/>
      <c r="I856" s="46"/>
    </row>
    <row r="857">
      <c r="A857" s="49"/>
      <c r="B857" s="46"/>
      <c r="C857" s="46"/>
      <c r="D857" s="46"/>
      <c r="E857" s="46"/>
      <c r="F857" s="46"/>
      <c r="G857" s="46"/>
      <c r="H857" s="46"/>
      <c r="I857" s="46"/>
    </row>
    <row r="858">
      <c r="A858" s="49"/>
      <c r="B858" s="46"/>
      <c r="C858" s="46"/>
      <c r="D858" s="46"/>
      <c r="E858" s="46"/>
      <c r="F858" s="46"/>
      <c r="G858" s="46"/>
      <c r="H858" s="46"/>
      <c r="I858" s="46"/>
    </row>
    <row r="859">
      <c r="A859" s="49"/>
      <c r="B859" s="46"/>
      <c r="C859" s="46"/>
      <c r="D859" s="46"/>
      <c r="E859" s="46"/>
      <c r="F859" s="46"/>
      <c r="G859" s="46"/>
      <c r="H859" s="46"/>
      <c r="I859" s="46"/>
    </row>
    <row r="860">
      <c r="A860" s="49"/>
      <c r="B860" s="46"/>
      <c r="C860" s="46"/>
      <c r="D860" s="46"/>
      <c r="E860" s="46"/>
      <c r="F860" s="46"/>
      <c r="G860" s="46"/>
      <c r="H860" s="46"/>
      <c r="I860" s="46"/>
    </row>
    <row r="861">
      <c r="A861" s="49"/>
      <c r="B861" s="46"/>
      <c r="C861" s="46"/>
      <c r="D861" s="46"/>
      <c r="E861" s="46"/>
      <c r="F861" s="46"/>
      <c r="G861" s="46"/>
      <c r="H861" s="46"/>
      <c r="I861" s="46"/>
    </row>
    <row r="862">
      <c r="A862" s="49"/>
      <c r="B862" s="46"/>
      <c r="C862" s="46"/>
      <c r="D862" s="46"/>
      <c r="E862" s="46"/>
      <c r="F862" s="46"/>
      <c r="G862" s="46"/>
      <c r="H862" s="46"/>
      <c r="I862" s="46"/>
    </row>
    <row r="863">
      <c r="A863" s="49"/>
      <c r="B863" s="46"/>
      <c r="C863" s="46"/>
      <c r="D863" s="46"/>
      <c r="E863" s="46"/>
      <c r="F863" s="46"/>
      <c r="G863" s="46"/>
      <c r="H863" s="46"/>
      <c r="I863" s="46"/>
    </row>
    <row r="864">
      <c r="A864" s="49"/>
      <c r="B864" s="46"/>
      <c r="C864" s="46"/>
      <c r="D864" s="46"/>
      <c r="E864" s="46"/>
      <c r="F864" s="46"/>
      <c r="G864" s="46"/>
      <c r="H864" s="46"/>
      <c r="I864" s="46"/>
    </row>
    <row r="865">
      <c r="A865" s="49"/>
      <c r="B865" s="46"/>
      <c r="C865" s="46"/>
      <c r="D865" s="46"/>
      <c r="E865" s="46"/>
      <c r="F865" s="46"/>
      <c r="G865" s="46"/>
      <c r="H865" s="46"/>
      <c r="I865" s="46"/>
    </row>
    <row r="866">
      <c r="A866" s="49"/>
      <c r="B866" s="46"/>
      <c r="C866" s="46"/>
      <c r="D866" s="46"/>
      <c r="E866" s="46"/>
      <c r="F866" s="46"/>
      <c r="G866" s="46"/>
      <c r="H866" s="46"/>
      <c r="I866" s="46"/>
    </row>
    <row r="867">
      <c r="A867" s="49"/>
      <c r="B867" s="46"/>
      <c r="C867" s="46"/>
      <c r="D867" s="46"/>
      <c r="E867" s="46"/>
      <c r="F867" s="46"/>
      <c r="G867" s="46"/>
      <c r="H867" s="46"/>
      <c r="I867" s="46"/>
    </row>
    <row r="868">
      <c r="A868" s="49"/>
      <c r="B868" s="46"/>
      <c r="C868" s="46"/>
      <c r="D868" s="46"/>
      <c r="E868" s="46"/>
      <c r="F868" s="46"/>
      <c r="G868" s="46"/>
      <c r="H868" s="46"/>
      <c r="I868" s="46"/>
    </row>
    <row r="869">
      <c r="A869" s="49"/>
      <c r="B869" s="46"/>
      <c r="C869" s="46"/>
      <c r="D869" s="46"/>
      <c r="E869" s="46"/>
      <c r="F869" s="46"/>
      <c r="G869" s="46"/>
      <c r="H869" s="46"/>
      <c r="I869" s="46"/>
    </row>
    <row r="870">
      <c r="A870" s="49"/>
      <c r="B870" s="46"/>
      <c r="C870" s="46"/>
      <c r="D870" s="46"/>
      <c r="E870" s="46"/>
      <c r="F870" s="46"/>
      <c r="G870" s="46"/>
      <c r="H870" s="46"/>
      <c r="I870" s="46"/>
    </row>
    <row r="871">
      <c r="A871" s="49"/>
      <c r="B871" s="46"/>
      <c r="C871" s="46"/>
      <c r="D871" s="46"/>
      <c r="E871" s="46"/>
      <c r="F871" s="46"/>
      <c r="G871" s="46"/>
      <c r="H871" s="46"/>
      <c r="I871" s="46"/>
    </row>
    <row r="872">
      <c r="A872" s="49"/>
      <c r="B872" s="46"/>
      <c r="C872" s="46"/>
      <c r="D872" s="46"/>
      <c r="E872" s="46"/>
      <c r="F872" s="46"/>
      <c r="G872" s="46"/>
      <c r="H872" s="46"/>
      <c r="I872" s="46"/>
    </row>
    <row r="873">
      <c r="A873" s="49"/>
      <c r="B873" s="46"/>
      <c r="C873" s="46"/>
      <c r="D873" s="46"/>
      <c r="E873" s="46"/>
      <c r="F873" s="46"/>
      <c r="G873" s="46"/>
      <c r="H873" s="46"/>
      <c r="I873" s="46"/>
    </row>
    <row r="874">
      <c r="A874" s="49"/>
      <c r="B874" s="46"/>
      <c r="C874" s="46"/>
      <c r="D874" s="46"/>
      <c r="E874" s="46"/>
      <c r="F874" s="46"/>
      <c r="G874" s="46"/>
      <c r="H874" s="46"/>
      <c r="I874" s="46"/>
    </row>
    <row r="875">
      <c r="A875" s="49"/>
      <c r="B875" s="46"/>
      <c r="C875" s="46"/>
      <c r="D875" s="46"/>
      <c r="E875" s="46"/>
      <c r="F875" s="46"/>
      <c r="G875" s="46"/>
      <c r="H875" s="46"/>
      <c r="I875" s="46"/>
    </row>
    <row r="876">
      <c r="A876" s="49"/>
      <c r="B876" s="46"/>
      <c r="C876" s="46"/>
      <c r="D876" s="46"/>
      <c r="E876" s="46"/>
      <c r="F876" s="46"/>
      <c r="G876" s="46"/>
      <c r="H876" s="46"/>
      <c r="I876" s="46"/>
    </row>
    <row r="877">
      <c r="A877" s="49"/>
      <c r="B877" s="46"/>
      <c r="C877" s="46"/>
      <c r="D877" s="46"/>
      <c r="E877" s="46"/>
      <c r="F877" s="46"/>
      <c r="G877" s="46"/>
      <c r="H877" s="46"/>
      <c r="I877" s="46"/>
    </row>
    <row r="878">
      <c r="A878" s="49"/>
      <c r="B878" s="46"/>
      <c r="C878" s="46"/>
      <c r="D878" s="46"/>
      <c r="E878" s="46"/>
      <c r="F878" s="46"/>
      <c r="G878" s="46"/>
      <c r="H878" s="46"/>
      <c r="I878" s="46"/>
    </row>
    <row r="879">
      <c r="A879" s="49"/>
      <c r="B879" s="46"/>
      <c r="C879" s="46"/>
      <c r="D879" s="46"/>
      <c r="E879" s="46"/>
      <c r="F879" s="46"/>
      <c r="G879" s="46"/>
      <c r="H879" s="46"/>
      <c r="I879" s="46"/>
    </row>
    <row r="880">
      <c r="A880" s="49"/>
      <c r="B880" s="46"/>
      <c r="C880" s="46"/>
      <c r="D880" s="46"/>
      <c r="E880" s="46"/>
      <c r="F880" s="46"/>
      <c r="G880" s="46"/>
      <c r="H880" s="46"/>
      <c r="I880" s="46"/>
    </row>
    <row r="881">
      <c r="A881" s="49"/>
      <c r="B881" s="46"/>
      <c r="C881" s="46"/>
      <c r="D881" s="46"/>
      <c r="E881" s="46"/>
      <c r="F881" s="46"/>
      <c r="G881" s="46"/>
      <c r="H881" s="46"/>
      <c r="I881" s="46"/>
    </row>
    <row r="882">
      <c r="A882" s="49"/>
      <c r="B882" s="46"/>
      <c r="C882" s="46"/>
      <c r="D882" s="46"/>
      <c r="E882" s="46"/>
      <c r="F882" s="46"/>
      <c r="G882" s="46"/>
      <c r="H882" s="46"/>
      <c r="I882" s="46"/>
    </row>
    <row r="883">
      <c r="A883" s="49"/>
      <c r="B883" s="46"/>
      <c r="C883" s="46"/>
      <c r="D883" s="46"/>
      <c r="E883" s="46"/>
      <c r="F883" s="46"/>
      <c r="G883" s="46"/>
      <c r="H883" s="46"/>
      <c r="I883" s="46"/>
    </row>
    <row r="884">
      <c r="A884" s="49"/>
      <c r="B884" s="46"/>
      <c r="C884" s="46"/>
      <c r="D884" s="46"/>
      <c r="E884" s="46"/>
      <c r="F884" s="46"/>
      <c r="G884" s="46"/>
      <c r="H884" s="46"/>
      <c r="I884" s="46"/>
    </row>
    <row r="885">
      <c r="A885" s="49"/>
      <c r="B885" s="46"/>
      <c r="C885" s="46"/>
      <c r="D885" s="46"/>
      <c r="E885" s="46"/>
      <c r="F885" s="46"/>
      <c r="G885" s="46"/>
      <c r="H885" s="46"/>
      <c r="I885" s="46"/>
    </row>
    <row r="886">
      <c r="A886" s="49"/>
      <c r="B886" s="46"/>
      <c r="C886" s="46"/>
      <c r="D886" s="46"/>
      <c r="E886" s="46"/>
      <c r="F886" s="46"/>
      <c r="G886" s="46"/>
      <c r="H886" s="46"/>
      <c r="I886" s="46"/>
    </row>
    <row r="887">
      <c r="A887" s="49"/>
      <c r="B887" s="46"/>
      <c r="C887" s="46"/>
      <c r="D887" s="46"/>
      <c r="E887" s="46"/>
      <c r="F887" s="46"/>
      <c r="G887" s="46"/>
      <c r="H887" s="46"/>
      <c r="I887" s="46"/>
    </row>
    <row r="888">
      <c r="A888" s="49"/>
      <c r="B888" s="46"/>
      <c r="C888" s="46"/>
      <c r="D888" s="46"/>
      <c r="E888" s="46"/>
      <c r="F888" s="46"/>
      <c r="G888" s="46"/>
      <c r="H888" s="46"/>
      <c r="I888" s="46"/>
    </row>
    <row r="889">
      <c r="A889" s="49"/>
      <c r="B889" s="46"/>
      <c r="C889" s="46"/>
      <c r="D889" s="46"/>
      <c r="E889" s="46"/>
      <c r="F889" s="46"/>
      <c r="G889" s="46"/>
      <c r="H889" s="46"/>
      <c r="I889" s="46"/>
    </row>
    <row r="890">
      <c r="A890" s="49"/>
      <c r="B890" s="46"/>
      <c r="C890" s="46"/>
      <c r="D890" s="46"/>
      <c r="E890" s="46"/>
      <c r="F890" s="46"/>
      <c r="G890" s="46"/>
      <c r="H890" s="46"/>
      <c r="I890" s="46"/>
    </row>
    <row r="891">
      <c r="A891" s="49"/>
      <c r="B891" s="46"/>
      <c r="C891" s="46"/>
      <c r="D891" s="46"/>
      <c r="E891" s="46"/>
      <c r="F891" s="46"/>
      <c r="G891" s="46"/>
      <c r="H891" s="46"/>
      <c r="I891" s="46"/>
    </row>
    <row r="892">
      <c r="A892" s="49"/>
      <c r="B892" s="46"/>
      <c r="C892" s="46"/>
      <c r="D892" s="46"/>
      <c r="E892" s="46"/>
      <c r="F892" s="46"/>
      <c r="G892" s="46"/>
      <c r="H892" s="46"/>
      <c r="I892" s="46"/>
    </row>
    <row r="893">
      <c r="A893" s="49"/>
      <c r="B893" s="46"/>
      <c r="C893" s="46"/>
      <c r="D893" s="46"/>
      <c r="E893" s="46"/>
      <c r="F893" s="46"/>
      <c r="G893" s="46"/>
      <c r="H893" s="46"/>
      <c r="I893" s="46"/>
    </row>
    <row r="894">
      <c r="A894" s="49"/>
      <c r="B894" s="46"/>
      <c r="C894" s="46"/>
      <c r="D894" s="46"/>
      <c r="E894" s="46"/>
      <c r="F894" s="46"/>
      <c r="G894" s="46"/>
      <c r="H894" s="46"/>
      <c r="I894" s="46"/>
    </row>
    <row r="895">
      <c r="A895" s="49"/>
      <c r="B895" s="46"/>
      <c r="C895" s="46"/>
      <c r="D895" s="46"/>
      <c r="E895" s="46"/>
      <c r="F895" s="46"/>
      <c r="G895" s="46"/>
      <c r="H895" s="46"/>
      <c r="I895" s="46"/>
    </row>
    <row r="896">
      <c r="A896" s="49"/>
      <c r="B896" s="46"/>
      <c r="C896" s="46"/>
      <c r="D896" s="46"/>
      <c r="E896" s="46"/>
      <c r="F896" s="46"/>
      <c r="G896" s="46"/>
      <c r="H896" s="46"/>
      <c r="I896" s="46"/>
    </row>
    <row r="897">
      <c r="A897" s="49"/>
      <c r="B897" s="46"/>
      <c r="C897" s="46"/>
      <c r="D897" s="46"/>
      <c r="E897" s="46"/>
      <c r="F897" s="46"/>
      <c r="G897" s="46"/>
      <c r="H897" s="46"/>
      <c r="I897" s="46"/>
    </row>
    <row r="898">
      <c r="A898" s="49"/>
      <c r="B898" s="46"/>
      <c r="C898" s="46"/>
      <c r="D898" s="46"/>
      <c r="E898" s="46"/>
      <c r="F898" s="46"/>
      <c r="G898" s="46"/>
      <c r="H898" s="46"/>
      <c r="I898" s="46"/>
    </row>
    <row r="899">
      <c r="A899" s="49"/>
      <c r="B899" s="46"/>
      <c r="C899" s="46"/>
      <c r="D899" s="46"/>
      <c r="E899" s="46"/>
      <c r="F899" s="46"/>
      <c r="G899" s="46"/>
      <c r="H899" s="46"/>
      <c r="I899" s="46"/>
    </row>
    <row r="900">
      <c r="A900" s="49"/>
      <c r="B900" s="46"/>
      <c r="C900" s="46"/>
      <c r="D900" s="46"/>
      <c r="E900" s="46"/>
      <c r="F900" s="46"/>
      <c r="G900" s="46"/>
      <c r="H900" s="46"/>
      <c r="I900" s="46"/>
    </row>
    <row r="901">
      <c r="A901" s="49"/>
      <c r="B901" s="46"/>
      <c r="C901" s="46"/>
      <c r="D901" s="46"/>
      <c r="E901" s="46"/>
      <c r="F901" s="46"/>
      <c r="G901" s="46"/>
      <c r="H901" s="46"/>
      <c r="I901" s="46"/>
    </row>
    <row r="902">
      <c r="A902" s="49"/>
      <c r="B902" s="46"/>
      <c r="C902" s="46"/>
      <c r="D902" s="46"/>
      <c r="E902" s="46"/>
      <c r="F902" s="46"/>
      <c r="G902" s="46"/>
      <c r="H902" s="46"/>
      <c r="I902" s="46"/>
    </row>
    <row r="903">
      <c r="A903" s="49"/>
      <c r="B903" s="46"/>
      <c r="C903" s="46"/>
      <c r="D903" s="46"/>
      <c r="E903" s="46"/>
      <c r="F903" s="46"/>
      <c r="G903" s="46"/>
      <c r="H903" s="46"/>
      <c r="I903" s="46"/>
    </row>
    <row r="904">
      <c r="A904" s="49"/>
      <c r="B904" s="46"/>
      <c r="C904" s="46"/>
      <c r="D904" s="46"/>
      <c r="E904" s="46"/>
      <c r="F904" s="46"/>
      <c r="G904" s="46"/>
      <c r="H904" s="46"/>
      <c r="I904" s="46"/>
    </row>
    <row r="905">
      <c r="A905" s="49"/>
      <c r="B905" s="46"/>
      <c r="C905" s="46"/>
      <c r="D905" s="46"/>
      <c r="E905" s="46"/>
      <c r="F905" s="46"/>
      <c r="G905" s="46"/>
      <c r="H905" s="46"/>
      <c r="I905" s="46"/>
    </row>
    <row r="906">
      <c r="A906" s="49"/>
      <c r="B906" s="46"/>
      <c r="C906" s="46"/>
      <c r="D906" s="46"/>
      <c r="E906" s="46"/>
      <c r="F906" s="46"/>
      <c r="G906" s="46"/>
      <c r="H906" s="46"/>
      <c r="I906" s="46"/>
    </row>
    <row r="907">
      <c r="A907" s="49"/>
      <c r="B907" s="46"/>
      <c r="C907" s="46"/>
      <c r="D907" s="46"/>
      <c r="E907" s="46"/>
      <c r="F907" s="46"/>
      <c r="G907" s="46"/>
      <c r="H907" s="46"/>
      <c r="I907" s="46"/>
    </row>
    <row r="908">
      <c r="A908" s="49"/>
      <c r="B908" s="46"/>
      <c r="C908" s="46"/>
      <c r="D908" s="46"/>
      <c r="E908" s="46"/>
      <c r="F908" s="46"/>
      <c r="G908" s="46"/>
      <c r="H908" s="46"/>
      <c r="I908" s="46"/>
    </row>
    <row r="909">
      <c r="A909" s="49"/>
      <c r="B909" s="46"/>
      <c r="C909" s="46"/>
      <c r="D909" s="46"/>
      <c r="E909" s="46"/>
      <c r="F909" s="46"/>
      <c r="G909" s="46"/>
      <c r="H909" s="46"/>
      <c r="I909" s="46"/>
    </row>
    <row r="910">
      <c r="A910" s="49"/>
      <c r="B910" s="46"/>
      <c r="C910" s="46"/>
      <c r="D910" s="46"/>
      <c r="E910" s="46"/>
      <c r="F910" s="46"/>
      <c r="G910" s="46"/>
      <c r="H910" s="46"/>
      <c r="I910" s="46"/>
    </row>
    <row r="911">
      <c r="A911" s="49"/>
      <c r="B911" s="46"/>
      <c r="C911" s="46"/>
      <c r="D911" s="46"/>
      <c r="E911" s="46"/>
      <c r="F911" s="46"/>
      <c r="G911" s="46"/>
      <c r="H911" s="46"/>
      <c r="I911" s="46"/>
    </row>
    <row r="912">
      <c r="A912" s="49"/>
      <c r="B912" s="46"/>
      <c r="C912" s="46"/>
      <c r="D912" s="46"/>
      <c r="E912" s="46"/>
      <c r="F912" s="46"/>
      <c r="G912" s="46"/>
      <c r="H912" s="46"/>
      <c r="I912" s="46"/>
    </row>
    <row r="913">
      <c r="A913" s="49"/>
      <c r="B913" s="46"/>
      <c r="C913" s="46"/>
      <c r="D913" s="46"/>
      <c r="E913" s="46"/>
      <c r="F913" s="46"/>
      <c r="G913" s="46"/>
      <c r="H913" s="46"/>
      <c r="I913" s="46"/>
    </row>
    <row r="914">
      <c r="A914" s="49"/>
      <c r="B914" s="46"/>
      <c r="C914" s="46"/>
      <c r="D914" s="46"/>
      <c r="E914" s="46"/>
      <c r="F914" s="46"/>
      <c r="G914" s="46"/>
      <c r="H914" s="46"/>
      <c r="I914" s="46"/>
    </row>
    <row r="915">
      <c r="A915" s="49"/>
      <c r="B915" s="46"/>
      <c r="C915" s="46"/>
      <c r="D915" s="46"/>
      <c r="E915" s="46"/>
      <c r="F915" s="46"/>
      <c r="G915" s="46"/>
      <c r="H915" s="46"/>
      <c r="I915" s="46"/>
    </row>
    <row r="916">
      <c r="A916" s="49"/>
      <c r="B916" s="46"/>
      <c r="C916" s="46"/>
      <c r="D916" s="46"/>
      <c r="E916" s="46"/>
      <c r="F916" s="46"/>
      <c r="G916" s="46"/>
      <c r="H916" s="46"/>
      <c r="I916" s="46"/>
    </row>
    <row r="917">
      <c r="A917" s="49"/>
      <c r="B917" s="46"/>
      <c r="C917" s="46"/>
      <c r="D917" s="46"/>
      <c r="E917" s="46"/>
      <c r="F917" s="46"/>
      <c r="G917" s="46"/>
      <c r="H917" s="46"/>
      <c r="I917" s="46"/>
    </row>
    <row r="918">
      <c r="A918" s="49"/>
      <c r="B918" s="46"/>
      <c r="C918" s="46"/>
      <c r="D918" s="46"/>
      <c r="E918" s="46"/>
      <c r="F918" s="46"/>
      <c r="G918" s="46"/>
      <c r="H918" s="46"/>
      <c r="I918" s="46"/>
    </row>
    <row r="919">
      <c r="A919" s="49"/>
      <c r="B919" s="46"/>
      <c r="C919" s="46"/>
      <c r="D919" s="46"/>
      <c r="E919" s="46"/>
      <c r="F919" s="46"/>
      <c r="G919" s="46"/>
      <c r="H919" s="46"/>
      <c r="I919" s="46"/>
    </row>
    <row r="920">
      <c r="A920" s="49"/>
      <c r="B920" s="46"/>
      <c r="C920" s="46"/>
      <c r="D920" s="46"/>
      <c r="E920" s="46"/>
      <c r="F920" s="46"/>
      <c r="G920" s="46"/>
      <c r="H920" s="46"/>
      <c r="I920" s="46"/>
    </row>
    <row r="921">
      <c r="A921" s="49"/>
      <c r="B921" s="46"/>
      <c r="C921" s="46"/>
      <c r="D921" s="46"/>
      <c r="E921" s="46"/>
      <c r="F921" s="46"/>
      <c r="G921" s="46"/>
      <c r="H921" s="46"/>
      <c r="I921" s="46"/>
    </row>
    <row r="922">
      <c r="A922" s="49"/>
      <c r="B922" s="46"/>
      <c r="C922" s="46"/>
      <c r="D922" s="46"/>
      <c r="E922" s="46"/>
      <c r="F922" s="46"/>
      <c r="G922" s="46"/>
      <c r="H922" s="46"/>
      <c r="I922" s="46"/>
    </row>
    <row r="923">
      <c r="A923" s="49"/>
      <c r="B923" s="46"/>
      <c r="C923" s="46"/>
      <c r="D923" s="46"/>
      <c r="E923" s="46"/>
      <c r="F923" s="46"/>
      <c r="G923" s="46"/>
      <c r="H923" s="46"/>
      <c r="I923" s="46"/>
    </row>
    <row r="924">
      <c r="A924" s="49"/>
      <c r="B924" s="46"/>
      <c r="C924" s="46"/>
      <c r="D924" s="46"/>
      <c r="E924" s="46"/>
      <c r="F924" s="46"/>
      <c r="G924" s="46"/>
      <c r="H924" s="46"/>
      <c r="I924" s="46"/>
    </row>
    <row r="925">
      <c r="A925" s="49"/>
      <c r="B925" s="46"/>
      <c r="C925" s="46"/>
      <c r="D925" s="46"/>
      <c r="E925" s="46"/>
      <c r="F925" s="46"/>
      <c r="G925" s="46"/>
      <c r="H925" s="46"/>
      <c r="I925" s="46"/>
    </row>
    <row r="926">
      <c r="A926" s="49"/>
      <c r="B926" s="46"/>
      <c r="C926" s="46"/>
      <c r="D926" s="46"/>
      <c r="E926" s="46"/>
      <c r="F926" s="46"/>
      <c r="G926" s="46"/>
      <c r="H926" s="46"/>
      <c r="I926" s="46"/>
    </row>
    <row r="927">
      <c r="A927" s="49"/>
      <c r="B927" s="46"/>
      <c r="C927" s="46"/>
      <c r="D927" s="46"/>
      <c r="E927" s="46"/>
      <c r="F927" s="46"/>
      <c r="G927" s="46"/>
      <c r="H927" s="46"/>
      <c r="I927" s="46"/>
    </row>
    <row r="928">
      <c r="A928" s="49"/>
      <c r="B928" s="46"/>
      <c r="C928" s="46"/>
      <c r="D928" s="46"/>
      <c r="E928" s="46"/>
      <c r="F928" s="46"/>
      <c r="G928" s="46"/>
      <c r="H928" s="46"/>
      <c r="I928" s="46"/>
    </row>
    <row r="929">
      <c r="A929" s="49"/>
      <c r="B929" s="46"/>
      <c r="C929" s="46"/>
      <c r="D929" s="46"/>
      <c r="E929" s="46"/>
      <c r="F929" s="46"/>
      <c r="G929" s="46"/>
      <c r="H929" s="46"/>
      <c r="I929" s="46"/>
    </row>
    <row r="930">
      <c r="A930" s="49"/>
      <c r="B930" s="46"/>
      <c r="C930" s="46"/>
      <c r="D930" s="46"/>
      <c r="E930" s="46"/>
      <c r="F930" s="46"/>
      <c r="G930" s="46"/>
      <c r="H930" s="46"/>
      <c r="I930" s="46"/>
    </row>
    <row r="931">
      <c r="A931" s="49"/>
      <c r="B931" s="46"/>
      <c r="C931" s="46"/>
      <c r="D931" s="46"/>
      <c r="E931" s="46"/>
      <c r="F931" s="46"/>
      <c r="G931" s="46"/>
      <c r="H931" s="46"/>
      <c r="I931" s="46"/>
    </row>
    <row r="932">
      <c r="A932" s="49"/>
      <c r="B932" s="46"/>
      <c r="C932" s="46"/>
      <c r="D932" s="46"/>
      <c r="E932" s="46"/>
      <c r="F932" s="46"/>
      <c r="G932" s="46"/>
      <c r="H932" s="46"/>
      <c r="I932" s="46"/>
    </row>
    <row r="933">
      <c r="A933" s="49"/>
      <c r="B933" s="46"/>
      <c r="C933" s="46"/>
      <c r="D933" s="46"/>
      <c r="E933" s="46"/>
      <c r="F933" s="46"/>
      <c r="G933" s="46"/>
      <c r="H933" s="46"/>
      <c r="I933" s="46"/>
    </row>
    <row r="934">
      <c r="A934" s="49"/>
      <c r="B934" s="46"/>
      <c r="C934" s="46"/>
      <c r="D934" s="46"/>
      <c r="E934" s="46"/>
      <c r="F934" s="46"/>
      <c r="G934" s="46"/>
      <c r="H934" s="46"/>
      <c r="I934" s="46"/>
    </row>
    <row r="935">
      <c r="A935" s="49"/>
      <c r="B935" s="46"/>
      <c r="C935" s="46"/>
      <c r="D935" s="46"/>
      <c r="E935" s="46"/>
      <c r="F935" s="46"/>
      <c r="G935" s="46"/>
      <c r="H935" s="46"/>
      <c r="I935" s="46"/>
    </row>
    <row r="936">
      <c r="A936" s="49"/>
      <c r="B936" s="46"/>
      <c r="C936" s="46"/>
      <c r="D936" s="46"/>
      <c r="E936" s="46"/>
      <c r="F936" s="46"/>
      <c r="G936" s="46"/>
      <c r="H936" s="46"/>
      <c r="I936" s="46"/>
    </row>
    <row r="937">
      <c r="A937" s="49"/>
      <c r="B937" s="46"/>
      <c r="C937" s="46"/>
      <c r="D937" s="46"/>
      <c r="E937" s="46"/>
      <c r="F937" s="46"/>
      <c r="G937" s="46"/>
      <c r="H937" s="46"/>
      <c r="I937" s="46"/>
    </row>
    <row r="938">
      <c r="A938" s="49"/>
      <c r="B938" s="46"/>
      <c r="C938" s="46"/>
      <c r="D938" s="46"/>
      <c r="E938" s="46"/>
      <c r="F938" s="46"/>
      <c r="G938" s="46"/>
      <c r="H938" s="46"/>
      <c r="I938" s="46"/>
    </row>
    <row r="939">
      <c r="A939" s="49"/>
      <c r="B939" s="46"/>
      <c r="C939" s="46"/>
      <c r="D939" s="46"/>
      <c r="E939" s="46"/>
      <c r="F939" s="46"/>
      <c r="G939" s="46"/>
      <c r="H939" s="46"/>
      <c r="I939" s="46"/>
    </row>
    <row r="940">
      <c r="A940" s="49"/>
      <c r="B940" s="46"/>
      <c r="C940" s="46"/>
      <c r="D940" s="46"/>
      <c r="E940" s="46"/>
      <c r="F940" s="46"/>
      <c r="G940" s="46"/>
      <c r="H940" s="46"/>
      <c r="I940" s="46"/>
    </row>
    <row r="941">
      <c r="A941" s="49"/>
      <c r="B941" s="46"/>
      <c r="C941" s="46"/>
      <c r="D941" s="46"/>
      <c r="E941" s="46"/>
      <c r="F941" s="46"/>
      <c r="G941" s="46"/>
      <c r="H941" s="46"/>
      <c r="I941" s="46"/>
    </row>
    <row r="942">
      <c r="A942" s="49"/>
      <c r="B942" s="46"/>
      <c r="C942" s="46"/>
      <c r="D942" s="46"/>
      <c r="E942" s="46"/>
      <c r="F942" s="46"/>
      <c r="G942" s="46"/>
      <c r="H942" s="46"/>
      <c r="I942" s="46"/>
    </row>
    <row r="943">
      <c r="A943" s="49"/>
      <c r="B943" s="46"/>
      <c r="C943" s="46"/>
      <c r="D943" s="46"/>
      <c r="E943" s="46"/>
      <c r="F943" s="46"/>
      <c r="G943" s="46"/>
      <c r="H943" s="46"/>
      <c r="I943" s="46"/>
    </row>
    <row r="944">
      <c r="A944" s="49"/>
      <c r="B944" s="46"/>
      <c r="C944" s="46"/>
      <c r="D944" s="46"/>
      <c r="E944" s="46"/>
      <c r="F944" s="46"/>
      <c r="G944" s="46"/>
      <c r="H944" s="46"/>
      <c r="I944" s="46"/>
    </row>
    <row r="945">
      <c r="A945" s="49"/>
      <c r="B945" s="46"/>
      <c r="C945" s="46"/>
      <c r="D945" s="46"/>
      <c r="E945" s="46"/>
      <c r="F945" s="46"/>
      <c r="G945" s="46"/>
      <c r="H945" s="46"/>
      <c r="I945" s="46"/>
    </row>
    <row r="946">
      <c r="A946" s="49"/>
      <c r="B946" s="46"/>
      <c r="C946" s="46"/>
      <c r="D946" s="46"/>
      <c r="E946" s="46"/>
      <c r="F946" s="46"/>
      <c r="G946" s="46"/>
      <c r="H946" s="46"/>
      <c r="I946" s="46"/>
    </row>
    <row r="947">
      <c r="A947" s="49"/>
      <c r="B947" s="46"/>
      <c r="C947" s="46"/>
      <c r="D947" s="46"/>
      <c r="E947" s="46"/>
      <c r="F947" s="46"/>
      <c r="G947" s="46"/>
      <c r="H947" s="46"/>
      <c r="I947" s="46"/>
    </row>
    <row r="948">
      <c r="A948" s="49"/>
      <c r="B948" s="46"/>
      <c r="C948" s="46"/>
      <c r="D948" s="46"/>
      <c r="E948" s="46"/>
      <c r="F948" s="46"/>
      <c r="G948" s="46"/>
      <c r="H948" s="46"/>
      <c r="I948" s="46"/>
    </row>
    <row r="949">
      <c r="A949" s="49"/>
      <c r="B949" s="46"/>
      <c r="C949" s="46"/>
      <c r="D949" s="46"/>
      <c r="E949" s="46"/>
      <c r="F949" s="46"/>
      <c r="G949" s="46"/>
      <c r="H949" s="46"/>
      <c r="I949" s="46"/>
    </row>
    <row r="950">
      <c r="A950" s="49"/>
      <c r="B950" s="46"/>
      <c r="C950" s="46"/>
      <c r="D950" s="46"/>
      <c r="E950" s="46"/>
      <c r="F950" s="46"/>
      <c r="G950" s="46"/>
      <c r="H950" s="46"/>
      <c r="I950" s="46"/>
    </row>
    <row r="951">
      <c r="A951" s="49"/>
      <c r="B951" s="46"/>
      <c r="C951" s="46"/>
      <c r="D951" s="46"/>
      <c r="E951" s="46"/>
      <c r="F951" s="46"/>
      <c r="G951" s="46"/>
      <c r="H951" s="46"/>
      <c r="I951" s="46"/>
    </row>
    <row r="952">
      <c r="A952" s="49"/>
      <c r="B952" s="46"/>
      <c r="C952" s="46"/>
      <c r="D952" s="46"/>
      <c r="E952" s="46"/>
      <c r="F952" s="46"/>
      <c r="G952" s="46"/>
      <c r="H952" s="46"/>
      <c r="I952" s="46"/>
    </row>
    <row r="953">
      <c r="A953" s="49"/>
      <c r="B953" s="46"/>
      <c r="C953" s="46"/>
      <c r="D953" s="46"/>
      <c r="E953" s="46"/>
      <c r="F953" s="46"/>
      <c r="G953" s="46"/>
      <c r="H953" s="46"/>
      <c r="I953" s="46"/>
    </row>
    <row r="954">
      <c r="A954" s="49"/>
      <c r="B954" s="46"/>
      <c r="C954" s="46"/>
      <c r="D954" s="46"/>
      <c r="E954" s="46"/>
      <c r="F954" s="46"/>
      <c r="G954" s="46"/>
      <c r="H954" s="46"/>
      <c r="I954" s="46"/>
    </row>
    <row r="955">
      <c r="A955" s="49"/>
      <c r="B955" s="46"/>
      <c r="C955" s="46"/>
      <c r="D955" s="46"/>
      <c r="E955" s="46"/>
      <c r="F955" s="46"/>
      <c r="G955" s="46"/>
      <c r="H955" s="46"/>
      <c r="I955" s="46"/>
    </row>
    <row r="956">
      <c r="A956" s="49"/>
      <c r="B956" s="46"/>
      <c r="C956" s="46"/>
      <c r="D956" s="46"/>
      <c r="E956" s="46"/>
      <c r="F956" s="46"/>
      <c r="G956" s="46"/>
      <c r="H956" s="46"/>
      <c r="I956" s="46"/>
    </row>
    <row r="957">
      <c r="A957" s="49"/>
      <c r="B957" s="46"/>
      <c r="C957" s="46"/>
      <c r="D957" s="46"/>
      <c r="E957" s="46"/>
      <c r="F957" s="46"/>
      <c r="G957" s="46"/>
      <c r="H957" s="46"/>
      <c r="I957" s="46"/>
    </row>
    <row r="958">
      <c r="A958" s="49"/>
      <c r="B958" s="46"/>
      <c r="C958" s="46"/>
      <c r="D958" s="46"/>
      <c r="E958" s="46"/>
      <c r="F958" s="46"/>
      <c r="G958" s="46"/>
      <c r="H958" s="46"/>
      <c r="I958" s="46"/>
    </row>
    <row r="959">
      <c r="A959" s="49"/>
      <c r="B959" s="46"/>
      <c r="C959" s="46"/>
      <c r="D959" s="46"/>
      <c r="E959" s="46"/>
      <c r="F959" s="46"/>
      <c r="G959" s="46"/>
      <c r="H959" s="46"/>
      <c r="I959" s="46"/>
    </row>
    <row r="960">
      <c r="A960" s="49"/>
      <c r="B960" s="46"/>
      <c r="C960" s="46"/>
      <c r="D960" s="46"/>
      <c r="E960" s="46"/>
      <c r="F960" s="46"/>
      <c r="G960" s="46"/>
      <c r="H960" s="46"/>
      <c r="I960" s="46"/>
    </row>
    <row r="961">
      <c r="A961" s="49"/>
      <c r="B961" s="46"/>
      <c r="C961" s="46"/>
      <c r="D961" s="46"/>
      <c r="E961" s="46"/>
      <c r="F961" s="46"/>
      <c r="G961" s="46"/>
      <c r="H961" s="46"/>
      <c r="I961" s="46"/>
    </row>
    <row r="962">
      <c r="A962" s="49"/>
      <c r="B962" s="46"/>
      <c r="C962" s="46"/>
      <c r="D962" s="46"/>
      <c r="E962" s="46"/>
      <c r="F962" s="46"/>
      <c r="G962" s="46"/>
      <c r="H962" s="46"/>
      <c r="I962" s="46"/>
    </row>
    <row r="963">
      <c r="A963" s="49"/>
      <c r="B963" s="46"/>
      <c r="C963" s="46"/>
      <c r="D963" s="46"/>
      <c r="E963" s="46"/>
      <c r="F963" s="46"/>
      <c r="G963" s="46"/>
      <c r="H963" s="46"/>
      <c r="I963" s="46"/>
    </row>
    <row r="964">
      <c r="A964" s="49"/>
      <c r="B964" s="46"/>
      <c r="C964" s="46"/>
      <c r="D964" s="46"/>
      <c r="E964" s="46"/>
      <c r="F964" s="46"/>
      <c r="G964" s="46"/>
      <c r="H964" s="46"/>
      <c r="I964" s="46"/>
    </row>
    <row r="965">
      <c r="A965" s="49"/>
      <c r="B965" s="46"/>
      <c r="C965" s="46"/>
      <c r="D965" s="46"/>
      <c r="E965" s="46"/>
      <c r="F965" s="46"/>
      <c r="G965" s="46"/>
      <c r="H965" s="46"/>
      <c r="I965" s="46"/>
    </row>
    <row r="966">
      <c r="A966" s="49"/>
      <c r="B966" s="46"/>
      <c r="C966" s="46"/>
      <c r="D966" s="46"/>
      <c r="E966" s="46"/>
      <c r="F966" s="46"/>
      <c r="G966" s="46"/>
      <c r="H966" s="46"/>
      <c r="I966" s="46"/>
    </row>
    <row r="967">
      <c r="A967" s="49"/>
      <c r="B967" s="46"/>
      <c r="C967" s="46"/>
      <c r="D967" s="46"/>
      <c r="E967" s="46"/>
      <c r="F967" s="46"/>
      <c r="G967" s="46"/>
      <c r="H967" s="46"/>
      <c r="I967" s="46"/>
    </row>
    <row r="968">
      <c r="A968" s="49"/>
      <c r="B968" s="46"/>
      <c r="C968" s="46"/>
      <c r="D968" s="46"/>
      <c r="E968" s="46"/>
      <c r="F968" s="46"/>
      <c r="G968" s="46"/>
      <c r="H968" s="46"/>
      <c r="I968" s="46"/>
    </row>
    <row r="969">
      <c r="A969" s="49"/>
      <c r="B969" s="46"/>
      <c r="C969" s="46"/>
      <c r="D969" s="46"/>
      <c r="E969" s="46"/>
      <c r="F969" s="46"/>
      <c r="G969" s="46"/>
      <c r="H969" s="46"/>
      <c r="I969" s="46"/>
    </row>
    <row r="970">
      <c r="A970" s="49"/>
      <c r="B970" s="46"/>
      <c r="C970" s="46"/>
      <c r="D970" s="46"/>
      <c r="E970" s="46"/>
      <c r="F970" s="46"/>
      <c r="G970" s="46"/>
      <c r="H970" s="46"/>
      <c r="I970" s="46"/>
    </row>
    <row r="971">
      <c r="A971" s="49"/>
      <c r="B971" s="46"/>
      <c r="C971" s="46"/>
      <c r="D971" s="46"/>
      <c r="E971" s="46"/>
      <c r="F971" s="46"/>
      <c r="G971" s="46"/>
      <c r="H971" s="46"/>
      <c r="I971" s="46"/>
    </row>
    <row r="972">
      <c r="A972" s="49"/>
      <c r="B972" s="46"/>
      <c r="C972" s="46"/>
      <c r="D972" s="46"/>
      <c r="E972" s="46"/>
      <c r="F972" s="46"/>
      <c r="G972" s="46"/>
      <c r="H972" s="46"/>
      <c r="I972" s="46"/>
    </row>
    <row r="973">
      <c r="A973" s="49"/>
      <c r="B973" s="46"/>
      <c r="C973" s="46"/>
      <c r="D973" s="46"/>
      <c r="E973" s="46"/>
      <c r="F973" s="46"/>
      <c r="G973" s="46"/>
      <c r="H973" s="46"/>
      <c r="I973" s="46"/>
    </row>
    <row r="974">
      <c r="A974" s="49"/>
      <c r="B974" s="46"/>
      <c r="C974" s="46"/>
      <c r="D974" s="46"/>
      <c r="E974" s="46"/>
      <c r="F974" s="46"/>
      <c r="G974" s="46"/>
      <c r="H974" s="46"/>
      <c r="I974" s="46"/>
    </row>
    <row r="975">
      <c r="A975" s="49"/>
      <c r="B975" s="46"/>
      <c r="C975" s="46"/>
      <c r="D975" s="46"/>
      <c r="E975" s="46"/>
      <c r="F975" s="46"/>
      <c r="G975" s="46"/>
      <c r="H975" s="46"/>
      <c r="I975" s="46"/>
    </row>
    <row r="976">
      <c r="A976" s="49"/>
      <c r="B976" s="46"/>
      <c r="C976" s="46"/>
      <c r="D976" s="46"/>
      <c r="E976" s="46"/>
      <c r="F976" s="46"/>
      <c r="G976" s="46"/>
      <c r="H976" s="46"/>
      <c r="I976" s="46"/>
    </row>
    <row r="977">
      <c r="A977" s="49"/>
      <c r="B977" s="46"/>
      <c r="C977" s="46"/>
      <c r="D977" s="46"/>
      <c r="E977" s="46"/>
      <c r="F977" s="46"/>
      <c r="G977" s="46"/>
      <c r="H977" s="46"/>
      <c r="I977" s="46"/>
    </row>
    <row r="978">
      <c r="A978" s="49"/>
      <c r="B978" s="46"/>
      <c r="C978" s="46"/>
      <c r="D978" s="46"/>
      <c r="E978" s="46"/>
      <c r="F978" s="46"/>
      <c r="G978" s="46"/>
      <c r="H978" s="46"/>
      <c r="I978" s="46"/>
    </row>
    <row r="979">
      <c r="A979" s="49"/>
      <c r="B979" s="46"/>
      <c r="C979" s="46"/>
      <c r="D979" s="46"/>
      <c r="E979" s="46"/>
      <c r="F979" s="46"/>
      <c r="G979" s="46"/>
      <c r="H979" s="46"/>
      <c r="I979" s="46"/>
    </row>
    <row r="980">
      <c r="A980" s="49"/>
      <c r="B980" s="46"/>
      <c r="C980" s="46"/>
      <c r="D980" s="46"/>
      <c r="E980" s="46"/>
      <c r="F980" s="46"/>
      <c r="G980" s="46"/>
      <c r="H980" s="46"/>
      <c r="I980" s="46"/>
    </row>
    <row r="981">
      <c r="A981" s="49"/>
      <c r="B981" s="46"/>
      <c r="C981" s="46"/>
      <c r="D981" s="46"/>
      <c r="E981" s="46"/>
      <c r="F981" s="46"/>
      <c r="G981" s="46"/>
      <c r="H981" s="46"/>
      <c r="I981" s="46"/>
    </row>
    <row r="982">
      <c r="A982" s="49"/>
      <c r="B982" s="46"/>
      <c r="C982" s="46"/>
      <c r="D982" s="46"/>
      <c r="E982" s="46"/>
      <c r="F982" s="46"/>
      <c r="G982" s="46"/>
      <c r="H982" s="46"/>
      <c r="I982" s="46"/>
    </row>
    <row r="983">
      <c r="A983" s="49"/>
      <c r="B983" s="46"/>
      <c r="C983" s="46"/>
      <c r="D983" s="46"/>
      <c r="E983" s="46"/>
      <c r="F983" s="46"/>
      <c r="G983" s="46"/>
      <c r="H983" s="46"/>
      <c r="I983" s="46"/>
    </row>
    <row r="984">
      <c r="A984" s="49"/>
      <c r="B984" s="46"/>
      <c r="C984" s="46"/>
      <c r="D984" s="46"/>
      <c r="E984" s="46"/>
      <c r="F984" s="46"/>
      <c r="G984" s="46"/>
      <c r="H984" s="46"/>
      <c r="I984" s="46"/>
    </row>
    <row r="985">
      <c r="A985" s="49"/>
      <c r="B985" s="46"/>
      <c r="C985" s="46"/>
      <c r="D985" s="46"/>
      <c r="E985" s="46"/>
      <c r="F985" s="46"/>
      <c r="G985" s="46"/>
      <c r="H985" s="46"/>
      <c r="I985" s="46"/>
    </row>
    <row r="986">
      <c r="A986" s="49"/>
      <c r="B986" s="46"/>
      <c r="C986" s="46"/>
      <c r="D986" s="46"/>
      <c r="E986" s="46"/>
      <c r="F986" s="46"/>
      <c r="G986" s="46"/>
      <c r="H986" s="46"/>
      <c r="I986" s="46"/>
    </row>
    <row r="987">
      <c r="A987" s="49"/>
      <c r="B987" s="46"/>
      <c r="C987" s="46"/>
      <c r="D987" s="46"/>
      <c r="E987" s="46"/>
      <c r="F987" s="46"/>
      <c r="G987" s="46"/>
      <c r="H987" s="46"/>
      <c r="I987" s="46"/>
    </row>
    <row r="988">
      <c r="A988" s="49"/>
      <c r="B988" s="46"/>
      <c r="C988" s="46"/>
      <c r="D988" s="46"/>
      <c r="E988" s="46"/>
      <c r="F988" s="46"/>
      <c r="G988" s="46"/>
      <c r="H988" s="46"/>
      <c r="I988" s="46"/>
    </row>
    <row r="989">
      <c r="A989" s="49"/>
      <c r="B989" s="46"/>
      <c r="C989" s="46"/>
      <c r="D989" s="46"/>
      <c r="E989" s="46"/>
      <c r="F989" s="46"/>
      <c r="G989" s="46"/>
      <c r="H989" s="46"/>
      <c r="I989" s="46"/>
    </row>
    <row r="990">
      <c r="A990" s="49"/>
      <c r="B990" s="46"/>
      <c r="C990" s="46"/>
      <c r="D990" s="46"/>
      <c r="E990" s="46"/>
      <c r="F990" s="46"/>
      <c r="G990" s="46"/>
      <c r="H990" s="46"/>
      <c r="I990" s="46"/>
    </row>
    <row r="991">
      <c r="A991" s="49"/>
      <c r="B991" s="46"/>
      <c r="C991" s="46"/>
      <c r="D991" s="46"/>
      <c r="E991" s="46"/>
      <c r="F991" s="46"/>
      <c r="G991" s="46"/>
      <c r="H991" s="46"/>
      <c r="I991" s="46"/>
    </row>
    <row r="992">
      <c r="A992" s="49"/>
      <c r="B992" s="46"/>
      <c r="C992" s="46"/>
      <c r="D992" s="46"/>
      <c r="E992" s="46"/>
      <c r="F992" s="46"/>
      <c r="G992" s="46"/>
      <c r="H992" s="46"/>
      <c r="I992" s="46"/>
    </row>
    <row r="993">
      <c r="A993" s="49"/>
      <c r="B993" s="46"/>
      <c r="C993" s="46"/>
      <c r="D993" s="46"/>
      <c r="E993" s="46"/>
      <c r="F993" s="46"/>
      <c r="G993" s="46"/>
      <c r="H993" s="46"/>
      <c r="I993" s="46"/>
    </row>
    <row r="994">
      <c r="A994" s="49"/>
      <c r="B994" s="46"/>
      <c r="C994" s="46"/>
      <c r="D994" s="46"/>
      <c r="E994" s="46"/>
      <c r="F994" s="46"/>
      <c r="G994" s="46"/>
      <c r="H994" s="46"/>
      <c r="I994" s="46"/>
    </row>
    <row r="995">
      <c r="A995" s="49"/>
      <c r="B995" s="46"/>
      <c r="C995" s="46"/>
      <c r="D995" s="46"/>
      <c r="E995" s="46"/>
      <c r="F995" s="46"/>
      <c r="G995" s="46"/>
      <c r="H995" s="46"/>
      <c r="I995" s="46"/>
    </row>
    <row r="996">
      <c r="A996" s="49"/>
      <c r="B996" s="46"/>
      <c r="C996" s="46"/>
      <c r="D996" s="46"/>
      <c r="E996" s="46"/>
      <c r="F996" s="46"/>
      <c r="G996" s="46"/>
      <c r="H996" s="46"/>
      <c r="I996" s="46"/>
    </row>
    <row r="997">
      <c r="A997" s="49"/>
      <c r="B997" s="46"/>
      <c r="C997" s="46"/>
      <c r="D997" s="46"/>
      <c r="E997" s="46"/>
      <c r="F997" s="46"/>
      <c r="G997" s="46"/>
      <c r="H997" s="46"/>
      <c r="I997" s="46"/>
    </row>
    <row r="998">
      <c r="A998" s="49"/>
      <c r="B998" s="46"/>
      <c r="C998" s="46"/>
      <c r="D998" s="46"/>
      <c r="E998" s="46"/>
      <c r="F998" s="46"/>
      <c r="G998" s="46"/>
      <c r="H998" s="46"/>
      <c r="I998" s="46"/>
    </row>
    <row r="999">
      <c r="A999" s="49"/>
      <c r="B999" s="46"/>
      <c r="C999" s="46"/>
      <c r="D999" s="46"/>
      <c r="E999" s="46"/>
      <c r="F999" s="46"/>
      <c r="G999" s="46"/>
      <c r="H999" s="46"/>
      <c r="I999" s="46"/>
    </row>
    <row r="1000">
      <c r="A1000" s="49"/>
      <c r="B1000" s="46"/>
      <c r="C1000" s="46"/>
      <c r="D1000" s="46"/>
      <c r="E1000" s="46"/>
      <c r="F1000" s="46"/>
      <c r="G1000" s="46"/>
      <c r="H1000" s="46"/>
      <c r="I1000" s="46"/>
    </row>
  </sheetData>
  <mergeCells count="6">
    <mergeCell ref="F1:H1"/>
    <mergeCell ref="I1:K1"/>
    <mergeCell ref="L1:N1"/>
    <mergeCell ref="O1:Q1"/>
    <mergeCell ref="R1:T1"/>
    <mergeCell ref="U1:W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c r="A1" s="39" t="s">
        <v>288</v>
      </c>
      <c r="B1" s="40"/>
      <c r="C1" s="40"/>
      <c r="D1" s="40"/>
      <c r="E1" s="40"/>
      <c r="F1" s="40" t="s">
        <v>65</v>
      </c>
      <c r="I1" s="40" t="s">
        <v>264</v>
      </c>
      <c r="L1" s="6" t="s">
        <v>265</v>
      </c>
      <c r="O1" s="6" t="s">
        <v>266</v>
      </c>
      <c r="R1" s="6" t="s">
        <v>84</v>
      </c>
      <c r="U1" s="6" t="s">
        <v>179</v>
      </c>
    </row>
    <row r="2">
      <c r="A2" s="16" t="s">
        <v>267</v>
      </c>
      <c r="B2" s="16" t="s">
        <v>268</v>
      </c>
      <c r="C2" s="16" t="s">
        <v>269</v>
      </c>
      <c r="D2" s="16" t="s">
        <v>270</v>
      </c>
      <c r="E2" s="16" t="s">
        <v>271</v>
      </c>
      <c r="F2" s="16" t="s">
        <v>42</v>
      </c>
      <c r="G2" s="16" t="s">
        <v>45</v>
      </c>
      <c r="H2" s="16" t="s">
        <v>272</v>
      </c>
      <c r="I2" s="16" t="s">
        <v>42</v>
      </c>
      <c r="J2" s="16" t="s">
        <v>45</v>
      </c>
      <c r="K2" s="16" t="s">
        <v>272</v>
      </c>
      <c r="L2" s="16" t="s">
        <v>42</v>
      </c>
      <c r="M2" s="16" t="s">
        <v>45</v>
      </c>
      <c r="N2" s="16" t="s">
        <v>272</v>
      </c>
      <c r="O2" s="16" t="s">
        <v>42</v>
      </c>
      <c r="P2" s="16" t="s">
        <v>45</v>
      </c>
      <c r="Q2" s="16" t="s">
        <v>272</v>
      </c>
      <c r="R2" s="16" t="s">
        <v>42</v>
      </c>
      <c r="S2" s="16" t="s">
        <v>45</v>
      </c>
      <c r="T2" s="16" t="s">
        <v>272</v>
      </c>
      <c r="U2" s="16" t="s">
        <v>42</v>
      </c>
      <c r="V2" s="16" t="s">
        <v>45</v>
      </c>
      <c r="W2" s="16" t="s">
        <v>272</v>
      </c>
    </row>
    <row r="3">
      <c r="A3" s="41" t="s">
        <v>273</v>
      </c>
      <c r="B3" s="42"/>
      <c r="C3" s="42"/>
      <c r="D3" s="42"/>
      <c r="E3" s="43" t="s">
        <v>274</v>
      </c>
      <c r="F3" s="43" t="s">
        <v>275</v>
      </c>
      <c r="G3" s="43" t="s">
        <v>276</v>
      </c>
      <c r="H3" s="43" t="s">
        <v>22</v>
      </c>
      <c r="I3" s="42" t="s">
        <v>277</v>
      </c>
      <c r="J3" s="42" t="s">
        <v>278</v>
      </c>
      <c r="K3" s="41" t="s">
        <v>22</v>
      </c>
      <c r="L3" s="44" t="s">
        <v>279</v>
      </c>
      <c r="M3" s="44" t="s">
        <v>280</v>
      </c>
      <c r="N3" s="44"/>
      <c r="O3" s="43" t="s">
        <v>281</v>
      </c>
      <c r="P3" s="43" t="s">
        <v>282</v>
      </c>
      <c r="Q3" s="41" t="s">
        <v>22</v>
      </c>
      <c r="R3" s="43" t="s">
        <v>22</v>
      </c>
      <c r="S3" s="43" t="s">
        <v>22</v>
      </c>
      <c r="T3" s="43" t="s">
        <v>22</v>
      </c>
      <c r="U3" s="43" t="s">
        <v>22</v>
      </c>
      <c r="V3" s="43" t="s">
        <v>22</v>
      </c>
      <c r="W3" s="43" t="s">
        <v>22</v>
      </c>
    </row>
    <row r="4">
      <c r="A4" s="45" t="str">
        <f>IFERROR(__xludf.DUMMYFUNCTION("FILTER(Data!A:A, Data!H:H=A1)"),"07_NM")</f>
        <v>07_NM</v>
      </c>
      <c r="B4" s="46"/>
      <c r="C4" s="31" t="str">
        <f t="array" ref="C4">IFERROR(
  LET(
    startTxt, XLOOKUP(A4, Data!A:A, Data!E:E, ""),
    endTxt, XLOOKUP(A4, Data!A:A, Data!F:F, ""),
    startDate, DATE(VALUE(RIGHT(startTxt,4)),VALUE(MID(startTxt,4,2)),VALUE(LEFT(startTxt,2))),
    endDate, DATE(VALUE(RIGHT(endTxt,4)),VALUE(MID(endTxt,4,2)),VALUE(LEFT(endTxt,2))),
    YEARFRAC(startDate, endDate)
  ),
  ""
)</f>
        <v/>
      </c>
      <c r="D4" s="39" t="s">
        <v>289</v>
      </c>
      <c r="E4" s="46" t="str">
        <f>IFERROR(__xludf.DUMMYFUNCTION("LET(
  raw, INDEX(Data!$B$3:$CN$100, MATCH($A4, Data!$A$3:$A$100, 0), MATCH(E$3, Data!$B$1:$CN$1, 0)),
  txt, TO_TEXT(raw),
  val, IF(
    REGEXMATCH(txt, ""^\s*-?\d+(\.\d+)?\s*$""),
    VALUE(txt),
    """"
  ),
  IF(
    val=0,
    ""Gauche"",
    IF(
 "&amp;"     val=1,
      ""Droit"",
      ""-""
    )
  )
)"),"-")</f>
        <v>-</v>
      </c>
      <c r="F4" s="48">
        <f>IFERROR(__xludf.DUMMYFUNCTION("LET(
  raw, INDEX(Data!$B$3:$CN$100, MATCH($A4, Data!$A$3:$A$100, 0), MATCH(F$3, Data!$B$1:$CN$1, 0)),
  txt, TO_TEXT(raw),
  IF(
    REGEXMATCH(txt, ""^\s*-?\d+(\.\d+)?\s*$""),
    VALUE(txt),
    ""-""
  )
)"),3.0)</f>
        <v>3</v>
      </c>
      <c r="G4" s="48">
        <f>IFERROR(__xludf.DUMMYFUNCTION("LET(
  raw, INDEX(Data!$B$3:$CN$100, MATCH($A4, Data!$A$3:$A$100, 0), MATCH(G$3, Data!$B$1:$CN$1, 0)),
  txt, TO_TEXT(raw),
  IF(
    REGEXMATCH(txt, ""^\s*-?\d+(\.\d+)?\s*$""),
    VALUE(txt),
    ""-""
  )
)"),3.0)</f>
        <v>3</v>
      </c>
      <c r="H4" s="50">
        <f t="shared" ref="H4:H8" si="1">IF(AND(ISNUMBER(G4), ISNUMBER($F4)), G4-$F4, "-")</f>
        <v>0</v>
      </c>
      <c r="I4" s="46">
        <f>IFERROR(__xludf.DUMMYFUNCTION("LET(
  raw, INDEX(Data!$B$3:$CN$100, MATCH($A4, Data!$A$3:$A$100, 0), MATCH(I$3, Data!$B$1:$CN$1, 0)),
  txt, TO_TEXT(raw),
  IF(
    REGEXMATCH(txt, ""^\s*-?\d+(\.\d+)?\s*$""),
    VALUE(txt),
    ""-""
  )
)"),0.4098360656)</f>
        <v>0.4098360656</v>
      </c>
      <c r="J4" s="46">
        <f>IFERROR(__xludf.DUMMYFUNCTION("LET(
  raw, INDEX(Data!$B$3:$CN$100, MATCH($A4, Data!$A$3:$A$100, 0), MATCH(J$3, Data!$B$1:$CN$1, 0)),
  txt, TO_TEXT(raw),
  IF(
    REGEXMATCH(txt, ""^\s*-?\d+(\.\d+)?\s*$""),
    VALUE(txt),
    ""-""
  )
)"),0.5050505051)</f>
        <v>0.5050505051</v>
      </c>
      <c r="K4" s="46">
        <f t="shared" ref="K4:K8" si="2">IF(AND(ISNUMBER(J4), ISNUMBER($I4)), J4-$I4, "-")</f>
        <v>0.0952144395</v>
      </c>
      <c r="L4" s="46">
        <f>IFERROR(__xludf.DUMMYFUNCTION("LET(
  raw, INDEX(Data!$B$3:$CN$100, MATCH($A4, Data!$A$3:$A$100, 0), MATCH(L$3, Data!$B$1:$CN$1, 0)),
  txt, TO_TEXT(raw),
  IF(
    REGEXMATCH(txt, ""^\s*-?\d+(\.\d+)?\s*$""),
    VALUE(txt),
    ""-""
  )
)"),77.0)</f>
        <v>77</v>
      </c>
      <c r="M4" s="46">
        <f>IFERROR(__xludf.DUMMYFUNCTION("LET(
  raw, INDEX(Data!$B$3:$CN$100, MATCH($A4, Data!$A$3:$A$100, 0), MATCH(M$3, Data!$B$1:$CN$1, 0)),
  txt, TO_TEXT(raw),
  IF(
    REGEXMATCH(txt, ""^\s*-?\d+(\.\d+)?\s*$""),
    VALUE(txt),
    ""-""
  )
)"),126.0)</f>
        <v>126</v>
      </c>
      <c r="N4" s="46">
        <f t="shared" ref="N4:N8" si="3">IF(AND(ISNUMBER(M4), ISNUMBER($L4)), M4-$L4, "-")</f>
        <v>49</v>
      </c>
      <c r="O4" s="46">
        <f>IFERROR(__xludf.DUMMYFUNCTION("LET(
  raw, INDEX(Data!$B$3:$CN$100, MATCH($A4, Data!$A$3:$A$100, 0), MATCH(O$3, Data!$B$1:$CN$1, 0)),
  txt, TO_TEXT(raw),
  IF(
    REGEXMATCH(txt, ""^\s*-?\d+(\.\d+)?\s*$""),
    VALUE(txt),
    ""-""
  )
)"),28.0)</f>
        <v>28</v>
      </c>
      <c r="P4" s="46">
        <f>IFERROR(__xludf.DUMMYFUNCTION("LET(
  raw, INDEX(Data!$B$3:$CN$100, MATCH($A4, Data!$A$3:$A$100, 0), MATCH(P$3, Data!$B$1:$CN$1, 0)),
  txt, TO_TEXT(raw),
  IF(
    REGEXMATCH(txt, ""^\s*-?\d+(\.\d+)?\s*$""),
    VALUE(txt),
    ""-""
  )
)"),17.0)</f>
        <v>17</v>
      </c>
      <c r="Q4" s="46">
        <f t="shared" ref="Q4:Q8" si="4">IF(AND(ISNUMBER(P4), ISNUMBER($O4)), P4-$O4, "-")</f>
        <v>-11</v>
      </c>
      <c r="R4" s="47">
        <v>4.0</v>
      </c>
      <c r="S4" s="47">
        <v>4.0</v>
      </c>
      <c r="T4" s="46">
        <f t="shared" ref="T4:T8" si="5">S4-R4</f>
        <v>0</v>
      </c>
      <c r="U4" s="47">
        <v>29.0</v>
      </c>
      <c r="V4" s="47">
        <v>29.0</v>
      </c>
      <c r="W4" s="48">
        <f t="shared" ref="W4:W8" si="6">V4-U4</f>
        <v>0</v>
      </c>
    </row>
    <row r="5">
      <c r="A5" s="45" t="str">
        <f>IFERROR(__xludf.DUMMYFUNCTION("""COMPUTED_VALUE"""),"08_DZ")</f>
        <v>08_DZ</v>
      </c>
      <c r="B5" s="46"/>
      <c r="C5" s="31" t="str">
        <f t="array" ref="C5">IFERROR(
  LET(
    startTxt, XLOOKUP(A5, Data!A:A, Data!E:E, ""),
    endTxt, XLOOKUP(A5, Data!A:A, Data!F:F, ""),
    startDate, DATE(VALUE(RIGHT(startTxt,4)),VALUE(MID(startTxt,4,2)),VALUE(LEFT(startTxt,2))),
    endDate, DATE(VALUE(RIGHT(endTxt,4)),VALUE(MID(endTxt,4,2)),VALUE(LEFT(endTxt,2))),
    YEARFRAC(startDate, endDate)
  ),
  ""
)</f>
        <v/>
      </c>
      <c r="D5" s="39" t="s">
        <v>290</v>
      </c>
      <c r="E5" s="46" t="str">
        <f>IFERROR(__xludf.DUMMYFUNCTION("LET(
  raw, INDEX(Data!$B$3:$CN$100, MATCH($A5, Data!$A$3:$A$100, 0), MATCH(E$3, Data!$B$1:$CN$1, 0)),
  txt, TO_TEXT(raw),
  val, IF(
    REGEXMATCH(txt, ""^\s*-?\d+(\.\d+)?\s*$""),
    VALUE(txt),
    """"
  ),
  IF(
    val=0,
    ""Gauche"",
    IF(
 "&amp;"     val=1,
      ""Droit"",
      ""-""
    )
  )
)"),"-")</f>
        <v>-</v>
      </c>
      <c r="F5" s="48">
        <f>IFERROR(__xludf.DUMMYFUNCTION("LET(
  raw, INDEX(Data!$B$3:$CN$100, MATCH($A5, Data!$A$3:$A$100, 0), MATCH(F$3, Data!$B$1:$CN$1, 0)),
  txt, TO_TEXT(raw),
  IF(
    REGEXMATCH(txt, ""^\s*-?\d+(\.\d+)?\s*$""),
    VALUE(txt),
    ""-""
  )
)"),4.0)</f>
        <v>4</v>
      </c>
      <c r="G5" s="48">
        <f>IFERROR(__xludf.DUMMYFUNCTION("LET(
  raw, INDEX(Data!$B$3:$CN$100, MATCH($A5, Data!$A$3:$A$100, 0), MATCH(G$3, Data!$B$1:$CN$1, 0)),
  txt, TO_TEXT(raw),
  IF(
    REGEXMATCH(txt, ""^\s*-?\d+(\.\d+)?\s*$""),
    VALUE(txt),
    ""-""
  )
)"),5.0)</f>
        <v>5</v>
      </c>
      <c r="H5" s="50">
        <f t="shared" si="1"/>
        <v>1</v>
      </c>
      <c r="I5" s="46">
        <f>IFERROR(__xludf.DUMMYFUNCTION("LET(
  raw, INDEX(Data!$B$3:$CN$100, MATCH($A5, Data!$A$3:$A$100, 0), MATCH(I$3, Data!$B$1:$CN$1, 0)),
  txt, TO_TEXT(raw),
  IF(
    REGEXMATCH(txt, ""^\s*-?\d+(\.\d+)?\s*$""),
    VALUE(txt),
    ""-""
  )
)"),0.6024096386)</f>
        <v>0.6024096386</v>
      </c>
      <c r="J5" s="46">
        <f>IFERROR(__xludf.DUMMYFUNCTION("LET(
  raw, INDEX(Data!$B$3:$CN$100, MATCH($A5, Data!$A$3:$A$100, 0), MATCH(J$3, Data!$B$1:$CN$1, 0)),
  txt, TO_TEXT(raw),
  IF(
    REGEXMATCH(txt, ""^\s*-?\d+(\.\d+)?\s*$""),
    VALUE(txt),
    ""-""
  )
)"),1.111111111)</f>
        <v>1.111111111</v>
      </c>
      <c r="K5" s="46">
        <f t="shared" si="2"/>
        <v>0.5087014724</v>
      </c>
      <c r="L5" s="46">
        <f>IFERROR(__xludf.DUMMYFUNCTION("LET(
  raw, INDEX(Data!$B$3:$CN$100, MATCH($A5, Data!$A$3:$A$100, 0), MATCH(L$3, Data!$B$1:$CN$1, 0)),
  txt, TO_TEXT(raw),
  IF(
    REGEXMATCH(txt, ""^\s*-?\d+(\.\d+)?\s*$""),
    VALUE(txt),
    ""-""
  )
)"),187.0)</f>
        <v>187</v>
      </c>
      <c r="M5" s="46">
        <f>IFERROR(__xludf.DUMMYFUNCTION("LET(
  raw, INDEX(Data!$B$3:$CN$100, MATCH($A5, Data!$A$3:$A$100, 0), MATCH(M$3, Data!$B$1:$CN$1, 0)),
  txt, TO_TEXT(raw),
  IF(
    REGEXMATCH(txt, ""^\s*-?\d+(\.\d+)?\s*$""),
    VALUE(txt),
    ""-""
  )
)"),210.0)</f>
        <v>210</v>
      </c>
      <c r="N5" s="46">
        <f t="shared" si="3"/>
        <v>23</v>
      </c>
      <c r="O5" s="46">
        <f>IFERROR(__xludf.DUMMYFUNCTION("LET(
  raw, INDEX(Data!$B$3:$CN$100, MATCH($A5, Data!$A$3:$A$100, 0), MATCH(O$3, Data!$B$1:$CN$1, 0)),
  txt, TO_TEXT(raw),
  IF(
    REGEXMATCH(txt, ""^\s*-?\d+(\.\d+)?\s*$""),
    VALUE(txt),
    ""-""
  )
)"),11.5)</f>
        <v>11.5</v>
      </c>
      <c r="P5" s="46">
        <f>IFERROR(__xludf.DUMMYFUNCTION("LET(
  raw, INDEX(Data!$B$3:$CN$100, MATCH($A5, Data!$A$3:$A$100, 0), MATCH(P$3, Data!$B$1:$CN$1, 0)),
  txt, TO_TEXT(raw),
  IF(
    REGEXMATCH(txt, ""^\s*-?\d+(\.\d+)?\s*$""),
    VALUE(txt),
    ""-""
  )
)"),10.4)</f>
        <v>10.4</v>
      </c>
      <c r="Q5" s="46">
        <f t="shared" si="4"/>
        <v>-1.1</v>
      </c>
      <c r="R5" s="47">
        <v>0.0</v>
      </c>
      <c r="S5" s="47">
        <v>0.0</v>
      </c>
      <c r="T5" s="46">
        <f t="shared" si="5"/>
        <v>0</v>
      </c>
      <c r="U5" s="47">
        <v>40.0</v>
      </c>
      <c r="V5" s="47">
        <v>40.0</v>
      </c>
      <c r="W5" s="48">
        <f t="shared" si="6"/>
        <v>0</v>
      </c>
    </row>
    <row r="6">
      <c r="A6" s="45" t="str">
        <f>IFERROR(__xludf.DUMMYFUNCTION("""COMPUTED_VALUE"""),"09_DM")</f>
        <v>09_DM</v>
      </c>
      <c r="B6" s="46"/>
      <c r="C6" s="31" t="str">
        <f t="array" ref="C6">IFERROR(
  LET(
    startTxt, XLOOKUP(A6, Data!A:A, Data!E:E, ""),
    endTxt, XLOOKUP(A6, Data!A:A, Data!F:F, ""),
    startDate, DATE(VALUE(RIGHT(startTxt,4)),VALUE(MID(startTxt,4,2)),VALUE(LEFT(startTxt,2))),
    endDate, DATE(VALUE(RIGHT(endTxt,4)),VALUE(MID(endTxt,4,2)),VALUE(LEFT(endTxt,2))),
    YEARFRAC(startDate, endDate)
  ),
  ""
)</f>
        <v/>
      </c>
      <c r="D6" s="39" t="s">
        <v>289</v>
      </c>
      <c r="E6" s="46" t="str">
        <f>IFERROR(__xludf.DUMMYFUNCTION("LET(
  raw, INDEX(Data!$B$3:$CN$100, MATCH($A6, Data!$A$3:$A$100, 0), MATCH(E$3, Data!$B$1:$CN$1, 0)),
  txt, TO_TEXT(raw),
  val, IF(
    REGEXMATCH(txt, ""^\s*-?\d+(\.\d+)?\s*$""),
    VALUE(txt),
    """"
  ),
  IF(
    val=0,
    ""Gauche"",
    IF(
 "&amp;"     val=1,
      ""Droit"",
      ""-""
    )
  )
)"),"-")</f>
        <v>-</v>
      </c>
      <c r="F6" s="48">
        <f>IFERROR(__xludf.DUMMYFUNCTION("LET(
  raw, INDEX(Data!$B$3:$CN$100, MATCH($A6, Data!$A$3:$A$100, 0), MATCH(F$3, Data!$B$1:$CN$1, 0)),
  txt, TO_TEXT(raw),
  IF(
    REGEXMATCH(txt, ""^\s*-?\d+(\.\d+)?\s*$""),
    VALUE(txt),
    ""-""
  )
)"),2.0)</f>
        <v>2</v>
      </c>
      <c r="G6" s="48">
        <f>IFERROR(__xludf.DUMMYFUNCTION("LET(
  raw, INDEX(Data!$B$3:$CN$100, MATCH($A6, Data!$A$3:$A$100, 0), MATCH(G$3, Data!$B$1:$CN$1, 0)),
  txt, TO_TEXT(raw),
  IF(
    REGEXMATCH(txt, ""^\s*-?\d+(\.\d+)?\s*$""),
    VALUE(txt),
    ""-""
  )
)"),5.0)</f>
        <v>5</v>
      </c>
      <c r="H6" s="50">
        <f t="shared" si="1"/>
        <v>3</v>
      </c>
      <c r="I6" s="46">
        <f>IFERROR(__xludf.DUMMYFUNCTION("LET(
  raw, INDEX(Data!$B$3:$CN$100, MATCH($A6, Data!$A$3:$A$100, 0), MATCH(I$3, Data!$B$1:$CN$1, 0)),
  txt, TO_TEXT(raw),
  IF(
    REGEXMATCH(txt, ""^\s*-?\d+(\.\d+)?\s*$""),
    VALUE(txt),
    ""-""
  )
)"),0.2564102564)</f>
        <v>0.2564102564</v>
      </c>
      <c r="J6" s="46">
        <f>IFERROR(__xludf.DUMMYFUNCTION("LET(
  raw, INDEX(Data!$B$3:$CN$100, MATCH($A6, Data!$A$3:$A$100, 0), MATCH(J$3, Data!$B$1:$CN$1, 0)),
  txt, TO_TEXT(raw),
  IF(
    REGEXMATCH(txt, ""^\s*-?\d+(\.\d+)?\s*$""),
    VALUE(txt),
    ""-""
  )
)"),1.111111111)</f>
        <v>1.111111111</v>
      </c>
      <c r="K6" s="46">
        <f t="shared" si="2"/>
        <v>0.8547008546</v>
      </c>
      <c r="L6" s="46">
        <f>IFERROR(__xludf.DUMMYFUNCTION("LET(
  raw, INDEX(Data!$B$3:$CN$100, MATCH($A6, Data!$A$3:$A$100, 0), MATCH(L$3, Data!$B$1:$CN$1, 0)),
  txt, TO_TEXT(raw),
  IF(
    REGEXMATCH(txt, ""^\s*-?\d+(\.\d+)?\s*$""),
    VALUE(txt),
    ""-""
  )
)"),178.0)</f>
        <v>178</v>
      </c>
      <c r="M6" s="46">
        <f>IFERROR(__xludf.DUMMYFUNCTION("LET(
  raw, INDEX(Data!$B$3:$CN$100, MATCH($A6, Data!$A$3:$A$100, 0), MATCH(M$3, Data!$B$1:$CN$1, 0)),
  txt, TO_TEXT(raw),
  IF(
    REGEXMATCH(txt, ""^\s*-?\d+(\.\d+)?\s*$""),
    VALUE(txt),
    ""-""
  )
)"),480.0)</f>
        <v>480</v>
      </c>
      <c r="N6" s="46">
        <f t="shared" si="3"/>
        <v>302</v>
      </c>
      <c r="O6" s="46">
        <f>IFERROR(__xludf.DUMMYFUNCTION("LET(
  raw, INDEX(Data!$B$3:$CN$100, MATCH($A6, Data!$A$3:$A$100, 0), MATCH(O$3, Data!$B$1:$CN$1, 0)),
  txt, TO_TEXT(raw),
  IF(
    REGEXMATCH(txt, ""^\s*-?\d+(\.\d+)?\s*$""),
    VALUE(txt),
    ""-""
  )
)"),16.0)</f>
        <v>16</v>
      </c>
      <c r="P6" s="46">
        <f>IFERROR(__xludf.DUMMYFUNCTION("LET(
  raw, INDEX(Data!$B$3:$CN$100, MATCH($A6, Data!$A$3:$A$100, 0), MATCH(P$3, Data!$B$1:$CN$1, 0)),
  txt, TO_TEXT(raw),
  IF(
    REGEXMATCH(txt, ""^\s*-?\d+(\.\d+)?\s*$""),
    VALUE(txt),
    ""-""
  )
)"),7.2)</f>
        <v>7.2</v>
      </c>
      <c r="Q6" s="46">
        <f t="shared" si="4"/>
        <v>-8.8</v>
      </c>
      <c r="R6" s="47">
        <v>8.0</v>
      </c>
      <c r="S6" s="47">
        <v>3.0</v>
      </c>
      <c r="T6" s="46">
        <f t="shared" si="5"/>
        <v>-5</v>
      </c>
      <c r="U6" s="47">
        <v>23.0</v>
      </c>
      <c r="V6" s="47">
        <v>38.0</v>
      </c>
      <c r="W6" s="48">
        <f t="shared" si="6"/>
        <v>15</v>
      </c>
    </row>
    <row r="7">
      <c r="A7" s="45" t="str">
        <f>IFERROR(__xludf.DUMMYFUNCTION("""COMPUTED_VALUE"""),"10_KI")</f>
        <v>10_KI</v>
      </c>
      <c r="B7" s="46"/>
      <c r="C7" s="31" t="str">
        <f t="array" ref="C7">IFERROR(
  LET(
    startTxt, XLOOKUP(A7, Data!A:A, Data!E:E, ""),
    endTxt, XLOOKUP(A7, Data!A:A, Data!F:F, ""),
    startDate, DATE(VALUE(RIGHT(startTxt,4)),VALUE(MID(startTxt,4,2)),VALUE(LEFT(startTxt,2))),
    endDate, DATE(VALUE(RIGHT(endTxt,4)),VALUE(MID(endTxt,4,2)),VALUE(LEFT(endTxt,2))),
    YEARFRAC(startDate, endDate)
  ),
  ""
)</f>
        <v/>
      </c>
      <c r="D7" s="39" t="s">
        <v>291</v>
      </c>
      <c r="E7" s="46" t="str">
        <f>IFERROR(__xludf.DUMMYFUNCTION("LET(
  raw, INDEX(Data!$B$3:$CN$100, MATCH($A7, Data!$A$3:$A$100, 0), MATCH(E$3, Data!$B$1:$CN$1, 0)),
  txt, TO_TEXT(raw),
  val, IF(
    REGEXMATCH(txt, ""^\s*-?\d+(\.\d+)?\s*$""),
    VALUE(txt),
    """"
  ),
  IF(
    val=0,
    ""Gauche"",
    IF(
 "&amp;"     val=1,
      ""Droit"",
      ""-""
    )
  )
)"),"-")</f>
        <v>-</v>
      </c>
      <c r="F7" s="48">
        <f>IFERROR(__xludf.DUMMYFUNCTION("LET(
  raw, INDEX(Data!$B$3:$CN$100, MATCH($A7, Data!$A$3:$A$100, 0), MATCH(F$3, Data!$B$1:$CN$1, 0)),
  txt, TO_TEXT(raw),
  IF(
    REGEXMATCH(txt, ""^\s*-?\d+(\.\d+)?\s*$""),
    VALUE(txt),
    ""-""
  )
)"),3.0)</f>
        <v>3</v>
      </c>
      <c r="G7" s="48">
        <f>IFERROR(__xludf.DUMMYFUNCTION("LET(
  raw, INDEX(Data!$B$3:$CN$100, MATCH($A7, Data!$A$3:$A$100, 0), MATCH(G$3, Data!$B$1:$CN$1, 0)),
  txt, TO_TEXT(raw),
  IF(
    REGEXMATCH(txt, ""^\s*-?\d+(\.\d+)?\s*$""),
    VALUE(txt),
    ""-""
  )
)"),5.0)</f>
        <v>5</v>
      </c>
      <c r="H7" s="50">
        <f t="shared" si="1"/>
        <v>2</v>
      </c>
      <c r="I7" s="46">
        <f>IFERROR(__xludf.DUMMYFUNCTION("LET(
  raw, INDEX(Data!$B$3:$CN$100, MATCH($A7, Data!$A$3:$A$100, 0), MATCH(I$3, Data!$B$1:$CN$1, 0)),
  txt, TO_TEXT(raw),
  IF(
    REGEXMATCH(txt, ""^\s*-?\d+(\.\d+)?\s*$""),
    VALUE(txt),
    ""-""
  )
)"),0.9259259259)</f>
        <v>0.9259259259</v>
      </c>
      <c r="J7" s="46">
        <f>IFERROR(__xludf.DUMMYFUNCTION("LET(
  raw, INDEX(Data!$B$3:$CN$100, MATCH($A7, Data!$A$3:$A$100, 0), MATCH(J$3, Data!$B$1:$CN$1, 0)),
  txt, TO_TEXT(raw),
  IF(
    REGEXMATCH(txt, ""^\s*-?\d+(\.\d+)?\s*$""),
    VALUE(txt),
    ""-""
  )
)"),0.9090909091)</f>
        <v>0.9090909091</v>
      </c>
      <c r="K7" s="46">
        <f t="shared" si="2"/>
        <v>-0.0168350168</v>
      </c>
      <c r="L7" s="46">
        <f>IFERROR(__xludf.DUMMYFUNCTION("LET(
  raw, INDEX(Data!$B$3:$CN$100, MATCH($A7, Data!$A$3:$A$100, 0), MATCH(L$3, Data!$B$1:$CN$1, 0)),
  txt, TO_TEXT(raw),
  IF(
    REGEXMATCH(txt, ""^\s*-?\d+(\.\d+)?\s*$""),
    VALUE(txt),
    ""-""
  )
)"),108.0)</f>
        <v>108</v>
      </c>
      <c r="M7" s="46">
        <f>IFERROR(__xludf.DUMMYFUNCTION("LET(
  raw, INDEX(Data!$B$3:$CN$100, MATCH($A7, Data!$A$3:$A$100, 0), MATCH(M$3, Data!$B$1:$CN$1, 0)),
  txt, TO_TEXT(raw),
  IF(
    REGEXMATCH(txt, ""^\s*-?\d+(\.\d+)?\s*$""),
    VALUE(txt),
    ""-""
  )
)"),234.0)</f>
        <v>234</v>
      </c>
      <c r="N7" s="46">
        <f t="shared" si="3"/>
        <v>126</v>
      </c>
      <c r="O7" s="46">
        <f>IFERROR(__xludf.DUMMYFUNCTION("LET(
  raw, INDEX(Data!$B$3:$CN$100, MATCH($A7, Data!$A$3:$A$100, 0), MATCH(O$3, Data!$B$1:$CN$1, 0)),
  txt, TO_TEXT(raw),
  IF(
    REGEXMATCH(txt, ""^\s*-?\d+(\.\d+)?\s*$""),
    VALUE(txt),
    ""-""
  )
)"),20.0)</f>
        <v>20</v>
      </c>
      <c r="P7" s="46">
        <f>IFERROR(__xludf.DUMMYFUNCTION("LET(
  raw, INDEX(Data!$B$3:$CN$100, MATCH($A7, Data!$A$3:$A$100, 0), MATCH(P$3, Data!$B$1:$CN$1, 0)),
  txt, TO_TEXT(raw),
  IF(
    REGEXMATCH(txt, ""^\s*-?\d+(\.\d+)?\s*$""),
    VALUE(txt),
    ""-""
  )
)"),11.0)</f>
        <v>11</v>
      </c>
      <c r="Q7" s="46">
        <f t="shared" si="4"/>
        <v>-9</v>
      </c>
      <c r="R7" s="47">
        <v>0.0</v>
      </c>
      <c r="S7" s="47">
        <v>0.0</v>
      </c>
      <c r="T7" s="46">
        <f t="shared" si="5"/>
        <v>0</v>
      </c>
      <c r="U7" s="47">
        <v>26.0</v>
      </c>
      <c r="V7" s="47">
        <v>34.0</v>
      </c>
      <c r="W7" s="48">
        <f t="shared" si="6"/>
        <v>8</v>
      </c>
    </row>
    <row r="8">
      <c r="A8" s="45" t="str">
        <f>IFERROR(__xludf.DUMMYFUNCTION("""COMPUTED_VALUE"""),"11_LJ")</f>
        <v>11_LJ</v>
      </c>
      <c r="B8" s="46"/>
      <c r="C8" s="31" t="str">
        <f t="array" ref="C8">IFERROR(
  LET(
    startTxt, XLOOKUP(A8, Data!A:A, Data!E:E, ""),
    endTxt, XLOOKUP(A8, Data!A:A, Data!F:F, ""),
    startDate, DATE(VALUE(RIGHT(startTxt,4)),VALUE(MID(startTxt,4,2)),VALUE(LEFT(startTxt,2))),
    endDate, DATE(VALUE(RIGHT(endTxt,4)),VALUE(MID(endTxt,4,2)),VALUE(LEFT(endTxt,2))),
    YEARFRAC(startDate, endDate)
  ),
  ""
)</f>
        <v/>
      </c>
      <c r="D8" s="39" t="s">
        <v>292</v>
      </c>
      <c r="E8" s="46" t="str">
        <f>IFERROR(__xludf.DUMMYFUNCTION("LET(
  raw, INDEX(Data!$B$3:$CN$100, MATCH($A8, Data!$A$3:$A$100, 0), MATCH(E$3, Data!$B$1:$CN$1, 0)),
  txt, TO_TEXT(raw),
  val, IF(
    REGEXMATCH(txt, ""^\s*-?\d+(\.\d+)?\s*$""),
    VALUE(txt),
    """"
  ),
  IF(
    val=0,
    ""Gauche"",
    IF(
 "&amp;"     val=1,
      ""Droit"",
      ""-""
    )
  )
)"),"-")</f>
        <v>-</v>
      </c>
      <c r="F8" s="48">
        <f>IFERROR(__xludf.DUMMYFUNCTION("LET(
  raw, INDEX(Data!$B$3:$CN$100, MATCH($A8, Data!$A$3:$A$100, 0), MATCH(F$3, Data!$B$1:$CN$1, 0)),
  txt, TO_TEXT(raw),
  IF(
    REGEXMATCH(txt, ""^\s*-?\d+(\.\d+)?\s*$""),
    VALUE(txt),
    ""-""
  )
)"),2.0)</f>
        <v>2</v>
      </c>
      <c r="G8" s="48">
        <f>IFERROR(__xludf.DUMMYFUNCTION("LET(
  raw, INDEX(Data!$B$3:$CN$100, MATCH($A8, Data!$A$3:$A$100, 0), MATCH(G$3, Data!$B$1:$CN$1, 0)),
  txt, TO_TEXT(raw),
  IF(
    REGEXMATCH(txt, ""^\s*-?\d+(\.\d+)?\s*$""),
    VALUE(txt),
    ""-""
  )
)"),5.0)</f>
        <v>5</v>
      </c>
      <c r="H8" s="50">
        <f t="shared" si="1"/>
        <v>3</v>
      </c>
      <c r="I8" s="46">
        <f>IFERROR(__xludf.DUMMYFUNCTION("LET(
  raw, INDEX(Data!$B$3:$CN$100, MATCH($A8, Data!$A$3:$A$100, 0), MATCH(I$3, Data!$B$1:$CN$1, 0)),
  txt, TO_TEXT(raw),
  IF(
    REGEXMATCH(txt, ""^\s*-?\d+(\.\d+)?\s*$""),
    VALUE(txt),
    ""-""
  )
)"),0.625)</f>
        <v>0.625</v>
      </c>
      <c r="J8" s="46">
        <f>IFERROR(__xludf.DUMMYFUNCTION("LET(
  raw, INDEX(Data!$B$3:$CN$100, MATCH($A8, Data!$A$3:$A$100, 0), MATCH(J$3, Data!$B$1:$CN$1, 0)),
  txt, TO_TEXT(raw),
  IF(
    REGEXMATCH(txt, ""^\s*-?\d+(\.\d+)?\s*$""),
    VALUE(txt),
    ""-""
  )
)"),0.6666666667)</f>
        <v>0.6666666667</v>
      </c>
      <c r="K8" s="46">
        <f t="shared" si="2"/>
        <v>0.0416666667</v>
      </c>
      <c r="L8" s="46">
        <f>IFERROR(__xludf.DUMMYFUNCTION("LET(
  raw, INDEX(Data!$B$3:$CN$100, MATCH($A8, Data!$A$3:$A$100, 0), MATCH(L$3, Data!$B$1:$CN$1, 0)),
  txt, TO_TEXT(raw),
  IF(
    REGEXMATCH(txt, ""^\s*-?\d+(\.\d+)?\s*$""),
    VALUE(txt),
    ""-""
  )
)"),102.0)</f>
        <v>102</v>
      </c>
      <c r="M8" s="46">
        <f>IFERROR(__xludf.DUMMYFUNCTION("LET(
  raw, INDEX(Data!$B$3:$CN$100, MATCH($A8, Data!$A$3:$A$100, 0), MATCH(M$3, Data!$B$1:$CN$1, 0)),
  txt, TO_TEXT(raw),
  IF(
    REGEXMATCH(txt, ""^\s*-?\d+(\.\d+)?\s*$""),
    VALUE(txt),
    ""-""
  )
)"),228.0)</f>
        <v>228</v>
      </c>
      <c r="N8" s="46">
        <f t="shared" si="3"/>
        <v>126</v>
      </c>
      <c r="O8" s="46">
        <f>IFERROR(__xludf.DUMMYFUNCTION("LET(
  raw, INDEX(Data!$B$3:$CN$100, MATCH($A8, Data!$A$3:$A$100, 0), MATCH(O$3, Data!$B$1:$CN$1, 0)),
  txt, TO_TEXT(raw),
  IF(
    REGEXMATCH(txt, ""^\s*-?\d+(\.\d+)?\s*$""),
    VALUE(txt),
    ""-""
  )
)"),31.0)</f>
        <v>31</v>
      </c>
      <c r="P8" s="46">
        <f>IFERROR(__xludf.DUMMYFUNCTION("LET(
  raw, INDEX(Data!$B$3:$CN$100, MATCH($A8, Data!$A$3:$A$100, 0), MATCH(P$3, Data!$B$1:$CN$1, 0)),
  txt, TO_TEXT(raw),
  IF(
    REGEXMATCH(txt, ""^\s*-?\d+(\.\d+)?\s*$""),
    VALUE(txt),
    ""-""
  )
)"),12.0)</f>
        <v>12</v>
      </c>
      <c r="Q8" s="46">
        <f t="shared" si="4"/>
        <v>-19</v>
      </c>
      <c r="R8" s="47">
        <v>0.0</v>
      </c>
      <c r="S8" s="47">
        <v>0.0</v>
      </c>
      <c r="T8" s="46">
        <f t="shared" si="5"/>
        <v>0</v>
      </c>
      <c r="U8" s="47">
        <v>26.0</v>
      </c>
      <c r="V8" s="47">
        <v>35.0</v>
      </c>
      <c r="W8" s="48">
        <f t="shared" si="6"/>
        <v>9</v>
      </c>
    </row>
    <row r="9">
      <c r="A9" s="45" t="str">
        <f>IFERROR(__xludf.DUMMYFUNCTION("""COMPUTED_VALUE"""),"14_SS")</f>
        <v>14_SS</v>
      </c>
      <c r="B9" s="46"/>
      <c r="C9" s="46"/>
      <c r="D9" s="39" t="s">
        <v>22</v>
      </c>
      <c r="E9" s="46"/>
      <c r="F9" s="46"/>
      <c r="G9" s="46"/>
      <c r="H9" s="46"/>
      <c r="I9" s="46"/>
      <c r="K9" s="46"/>
    </row>
    <row r="10">
      <c r="A10" s="45" t="str">
        <f>IFERROR(__xludf.DUMMYFUNCTION("""COMPUTED_VALUE"""),"15_SS")</f>
        <v>15_SS</v>
      </c>
      <c r="B10" s="46"/>
      <c r="C10" s="46"/>
      <c r="D10" s="39" t="s">
        <v>22</v>
      </c>
      <c r="E10" s="46"/>
      <c r="F10" s="46"/>
      <c r="G10" s="46"/>
      <c r="H10" s="46"/>
      <c r="I10" s="46"/>
    </row>
    <row r="11">
      <c r="A11" s="49"/>
      <c r="B11" s="46"/>
      <c r="C11" s="46"/>
      <c r="D11" s="46"/>
      <c r="E11" s="46"/>
      <c r="F11" s="46"/>
      <c r="G11" s="46"/>
      <c r="H11" s="46"/>
      <c r="I11" s="46"/>
    </row>
    <row r="12">
      <c r="A12" s="49"/>
      <c r="B12" s="46"/>
      <c r="C12" s="46"/>
      <c r="D12" s="46"/>
      <c r="E12" s="46"/>
      <c r="F12" s="46"/>
      <c r="G12" s="46"/>
      <c r="H12" s="46"/>
      <c r="I12" s="46"/>
    </row>
    <row r="13">
      <c r="A13" s="49"/>
      <c r="B13" s="46"/>
      <c r="C13" s="46"/>
      <c r="D13" s="46"/>
      <c r="E13" s="46"/>
      <c r="F13" s="46"/>
      <c r="G13" s="46"/>
      <c r="H13" s="46"/>
      <c r="I13" s="46"/>
    </row>
    <row r="14">
      <c r="A14" s="49"/>
      <c r="B14" s="46"/>
      <c r="C14" s="46"/>
      <c r="D14" s="46"/>
      <c r="E14" s="46"/>
      <c r="F14" s="46"/>
      <c r="G14" s="46"/>
      <c r="H14" s="46"/>
      <c r="I14" s="46"/>
    </row>
    <row r="15">
      <c r="A15" s="49"/>
      <c r="B15" s="46"/>
      <c r="C15" s="46"/>
      <c r="D15" s="46"/>
      <c r="E15" s="46"/>
      <c r="F15" s="46"/>
      <c r="G15" s="46"/>
      <c r="H15" s="46"/>
      <c r="I15" s="46"/>
    </row>
    <row r="16">
      <c r="A16" s="49"/>
      <c r="B16" s="46"/>
      <c r="C16" s="46"/>
      <c r="D16" s="46"/>
      <c r="E16" s="46"/>
      <c r="F16" s="46"/>
      <c r="G16" s="46"/>
      <c r="H16" s="46"/>
      <c r="I16" s="46"/>
    </row>
    <row r="17">
      <c r="A17" s="49"/>
      <c r="B17" s="46"/>
      <c r="C17" s="46"/>
      <c r="D17" s="46"/>
      <c r="E17" s="46"/>
      <c r="F17" s="46"/>
      <c r="G17" s="46"/>
      <c r="H17" s="46"/>
      <c r="I17" s="46"/>
    </row>
    <row r="18">
      <c r="A18" s="49"/>
      <c r="B18" s="46"/>
      <c r="C18" s="46"/>
      <c r="D18" s="46"/>
      <c r="E18" s="46"/>
      <c r="F18" s="46"/>
      <c r="G18" s="46"/>
      <c r="H18" s="46"/>
      <c r="I18" s="46"/>
    </row>
    <row r="19">
      <c r="A19" s="49"/>
      <c r="B19" s="46"/>
      <c r="C19" s="46"/>
      <c r="D19" s="46"/>
      <c r="E19" s="46"/>
      <c r="F19" s="46"/>
      <c r="G19" s="46"/>
      <c r="H19" s="46"/>
      <c r="I19" s="46"/>
    </row>
    <row r="20">
      <c r="A20" s="49"/>
      <c r="B20" s="46"/>
      <c r="C20" s="46"/>
      <c r="D20" s="46"/>
      <c r="E20" s="46"/>
      <c r="F20" s="46"/>
      <c r="G20" s="46"/>
      <c r="H20" s="46"/>
      <c r="I20" s="46"/>
    </row>
    <row r="21">
      <c r="A21" s="49"/>
      <c r="B21" s="46"/>
      <c r="C21" s="46"/>
      <c r="D21" s="46"/>
      <c r="E21" s="46"/>
      <c r="F21" s="46"/>
      <c r="G21" s="46"/>
      <c r="H21" s="46"/>
      <c r="I21" s="46"/>
    </row>
    <row r="22">
      <c r="A22" s="49"/>
      <c r="B22" s="46"/>
      <c r="C22" s="46"/>
      <c r="D22" s="46"/>
      <c r="E22" s="46"/>
      <c r="F22" s="46"/>
      <c r="G22" s="46"/>
      <c r="H22" s="46"/>
      <c r="I22" s="46"/>
    </row>
    <row r="23">
      <c r="A23" s="49"/>
      <c r="B23" s="46"/>
      <c r="C23" s="46"/>
      <c r="D23" s="46"/>
      <c r="E23" s="46"/>
      <c r="F23" s="46"/>
      <c r="G23" s="46"/>
      <c r="H23" s="46"/>
      <c r="I23" s="46"/>
    </row>
    <row r="24">
      <c r="A24" s="49"/>
      <c r="B24" s="46"/>
      <c r="C24" s="46"/>
      <c r="D24" s="46"/>
      <c r="E24" s="46"/>
      <c r="F24" s="46"/>
      <c r="G24" s="46"/>
      <c r="H24" s="46"/>
      <c r="I24" s="46"/>
    </row>
    <row r="25">
      <c r="A25" s="49"/>
      <c r="B25" s="46"/>
      <c r="C25" s="46"/>
      <c r="D25" s="46"/>
      <c r="E25" s="46"/>
      <c r="F25" s="46"/>
      <c r="G25" s="46"/>
      <c r="H25" s="46"/>
      <c r="I25" s="46"/>
    </row>
    <row r="26">
      <c r="A26" s="49"/>
      <c r="B26" s="46"/>
      <c r="C26" s="46"/>
      <c r="D26" s="46"/>
      <c r="E26" s="46"/>
      <c r="F26" s="46"/>
      <c r="G26" s="46"/>
      <c r="H26" s="46"/>
      <c r="I26" s="46"/>
    </row>
    <row r="27">
      <c r="A27" s="49"/>
      <c r="B27" s="46"/>
      <c r="C27" s="46"/>
      <c r="D27" s="46"/>
      <c r="E27" s="46"/>
      <c r="F27" s="46"/>
      <c r="G27" s="46"/>
      <c r="H27" s="46"/>
      <c r="I27" s="46"/>
    </row>
    <row r="28">
      <c r="A28" s="49"/>
      <c r="B28" s="46"/>
      <c r="C28" s="46"/>
      <c r="D28" s="46"/>
      <c r="E28" s="46"/>
      <c r="F28" s="46"/>
      <c r="G28" s="46"/>
      <c r="H28" s="46"/>
      <c r="I28" s="46"/>
    </row>
    <row r="29">
      <c r="A29" s="49"/>
      <c r="B29" s="46"/>
      <c r="C29" s="46"/>
      <c r="D29" s="46"/>
      <c r="E29" s="46"/>
      <c r="F29" s="46"/>
      <c r="G29" s="46"/>
      <c r="H29" s="46"/>
      <c r="I29" s="46"/>
    </row>
    <row r="30">
      <c r="A30" s="49"/>
      <c r="B30" s="46"/>
      <c r="C30" s="46"/>
      <c r="D30" s="46"/>
      <c r="E30" s="46"/>
      <c r="F30" s="46"/>
      <c r="G30" s="46"/>
      <c r="H30" s="46"/>
      <c r="I30" s="46"/>
    </row>
    <row r="31">
      <c r="A31" s="49"/>
      <c r="B31" s="46"/>
      <c r="C31" s="46"/>
      <c r="D31" s="46"/>
      <c r="E31" s="46"/>
      <c r="F31" s="46"/>
      <c r="G31" s="46"/>
      <c r="H31" s="46"/>
      <c r="I31" s="46"/>
    </row>
    <row r="32">
      <c r="A32" s="49"/>
      <c r="B32" s="46"/>
      <c r="C32" s="46"/>
      <c r="D32" s="46"/>
      <c r="E32" s="46"/>
      <c r="F32" s="46"/>
      <c r="G32" s="46"/>
      <c r="H32" s="46"/>
      <c r="I32" s="46"/>
    </row>
    <row r="33">
      <c r="A33" s="49"/>
      <c r="B33" s="46"/>
      <c r="C33" s="46"/>
      <c r="D33" s="46"/>
      <c r="E33" s="46"/>
      <c r="F33" s="46"/>
      <c r="G33" s="46"/>
      <c r="H33" s="46"/>
      <c r="I33" s="46"/>
    </row>
    <row r="34">
      <c r="A34" s="49"/>
      <c r="B34" s="46"/>
      <c r="C34" s="46"/>
      <c r="D34" s="46"/>
      <c r="E34" s="46"/>
      <c r="F34" s="46"/>
      <c r="G34" s="46"/>
      <c r="H34" s="46"/>
      <c r="I34" s="46"/>
    </row>
    <row r="35">
      <c r="A35" s="49"/>
      <c r="B35" s="46"/>
      <c r="C35" s="46"/>
      <c r="D35" s="46"/>
      <c r="E35" s="46"/>
      <c r="F35" s="46"/>
      <c r="G35" s="46"/>
      <c r="H35" s="46"/>
      <c r="I35" s="46"/>
    </row>
    <row r="36">
      <c r="A36" s="49"/>
      <c r="B36" s="46"/>
      <c r="C36" s="46"/>
      <c r="D36" s="46"/>
      <c r="E36" s="46"/>
      <c r="F36" s="46"/>
      <c r="G36" s="46"/>
      <c r="H36" s="46"/>
      <c r="I36" s="46"/>
    </row>
    <row r="37">
      <c r="A37" s="49"/>
      <c r="B37" s="46"/>
      <c r="C37" s="46"/>
      <c r="D37" s="46"/>
      <c r="E37" s="46"/>
      <c r="F37" s="46"/>
      <c r="G37" s="46"/>
      <c r="H37" s="46"/>
      <c r="I37" s="46"/>
    </row>
    <row r="38">
      <c r="A38" s="49"/>
      <c r="B38" s="46"/>
      <c r="C38" s="46"/>
      <c r="D38" s="46"/>
      <c r="E38" s="46"/>
      <c r="F38" s="46"/>
      <c r="G38" s="46"/>
      <c r="H38" s="46"/>
      <c r="I38" s="46"/>
    </row>
    <row r="39">
      <c r="A39" s="49"/>
      <c r="B39" s="46"/>
      <c r="C39" s="46"/>
      <c r="D39" s="46"/>
      <c r="E39" s="46"/>
      <c r="F39" s="46"/>
      <c r="G39" s="46"/>
      <c r="H39" s="46"/>
      <c r="I39" s="46"/>
    </row>
    <row r="40">
      <c r="A40" s="49"/>
      <c r="B40" s="46"/>
      <c r="C40" s="46"/>
      <c r="D40" s="46"/>
      <c r="E40" s="46"/>
      <c r="F40" s="46"/>
      <c r="G40" s="46"/>
      <c r="H40" s="46"/>
      <c r="I40" s="46"/>
    </row>
    <row r="41">
      <c r="A41" s="49"/>
      <c r="B41" s="46"/>
      <c r="C41" s="46"/>
      <c r="D41" s="46"/>
      <c r="E41" s="46"/>
      <c r="F41" s="46"/>
      <c r="G41" s="46"/>
      <c r="H41" s="46"/>
      <c r="I41" s="46"/>
    </row>
    <row r="42">
      <c r="A42" s="49"/>
      <c r="B42" s="46"/>
      <c r="C42" s="46"/>
      <c r="D42" s="46"/>
      <c r="E42" s="46"/>
      <c r="F42" s="46"/>
      <c r="G42" s="46"/>
      <c r="H42" s="46"/>
      <c r="I42" s="46"/>
    </row>
    <row r="43">
      <c r="A43" s="49"/>
      <c r="B43" s="46"/>
      <c r="C43" s="46"/>
      <c r="D43" s="46"/>
      <c r="E43" s="46"/>
      <c r="F43" s="46"/>
      <c r="G43" s="46"/>
      <c r="H43" s="46"/>
      <c r="I43" s="46"/>
    </row>
    <row r="44">
      <c r="A44" s="49"/>
      <c r="B44" s="46"/>
      <c r="C44" s="46"/>
      <c r="D44" s="46"/>
      <c r="E44" s="46"/>
      <c r="F44" s="46"/>
      <c r="G44" s="46"/>
      <c r="H44" s="46"/>
      <c r="I44" s="46"/>
    </row>
    <row r="45">
      <c r="A45" s="49"/>
      <c r="B45" s="46"/>
      <c r="C45" s="46"/>
      <c r="D45" s="46"/>
      <c r="E45" s="46"/>
      <c r="F45" s="46"/>
      <c r="G45" s="46"/>
      <c r="H45" s="46"/>
      <c r="I45" s="46"/>
    </row>
    <row r="46">
      <c r="A46" s="49"/>
      <c r="B46" s="46"/>
      <c r="C46" s="46"/>
      <c r="D46" s="46"/>
      <c r="E46" s="46"/>
      <c r="F46" s="46"/>
      <c r="G46" s="46"/>
      <c r="H46" s="46"/>
      <c r="I46" s="46"/>
    </row>
    <row r="47">
      <c r="A47" s="49"/>
      <c r="B47" s="46"/>
      <c r="C47" s="46"/>
      <c r="D47" s="46"/>
      <c r="E47" s="46"/>
      <c r="F47" s="46"/>
      <c r="G47" s="46"/>
      <c r="H47" s="46"/>
      <c r="I47" s="46"/>
    </row>
    <row r="48">
      <c r="A48" s="49"/>
      <c r="B48" s="46"/>
      <c r="C48" s="46"/>
      <c r="D48" s="46"/>
      <c r="E48" s="46"/>
      <c r="F48" s="46"/>
      <c r="G48" s="46"/>
      <c r="H48" s="46"/>
      <c r="I48" s="46"/>
    </row>
    <row r="49">
      <c r="A49" s="49"/>
      <c r="B49" s="46"/>
      <c r="C49" s="46"/>
      <c r="D49" s="46"/>
      <c r="E49" s="46"/>
      <c r="F49" s="46"/>
      <c r="G49" s="46"/>
      <c r="H49" s="46"/>
      <c r="I49" s="46"/>
    </row>
    <row r="50">
      <c r="A50" s="49"/>
      <c r="B50" s="46"/>
      <c r="C50" s="46"/>
      <c r="D50" s="46"/>
      <c r="E50" s="46"/>
      <c r="F50" s="46"/>
      <c r="G50" s="46"/>
      <c r="H50" s="46"/>
      <c r="I50" s="46"/>
    </row>
    <row r="51">
      <c r="A51" s="49"/>
      <c r="B51" s="46"/>
      <c r="C51" s="46"/>
      <c r="D51" s="46"/>
      <c r="E51" s="46"/>
      <c r="F51" s="46"/>
      <c r="G51" s="46"/>
      <c r="H51" s="46"/>
      <c r="I51" s="46"/>
    </row>
    <row r="52">
      <c r="A52" s="49"/>
      <c r="B52" s="46"/>
      <c r="C52" s="46"/>
      <c r="D52" s="46"/>
      <c r="E52" s="46"/>
      <c r="F52" s="46"/>
      <c r="G52" s="46"/>
      <c r="H52" s="46"/>
      <c r="I52" s="46"/>
    </row>
    <row r="53">
      <c r="A53" s="49"/>
      <c r="B53" s="46"/>
      <c r="C53" s="46"/>
      <c r="D53" s="46"/>
      <c r="E53" s="46"/>
      <c r="F53" s="46"/>
      <c r="G53" s="46"/>
      <c r="H53" s="46"/>
      <c r="I53" s="46"/>
    </row>
    <row r="54">
      <c r="A54" s="49"/>
      <c r="B54" s="46"/>
      <c r="C54" s="46"/>
      <c r="D54" s="46"/>
      <c r="E54" s="46"/>
      <c r="F54" s="46"/>
      <c r="G54" s="46"/>
      <c r="H54" s="46"/>
      <c r="I54" s="46"/>
    </row>
    <row r="55">
      <c r="A55" s="49"/>
      <c r="B55" s="46"/>
      <c r="C55" s="46"/>
      <c r="D55" s="46"/>
      <c r="E55" s="46"/>
      <c r="F55" s="46"/>
      <c r="G55" s="46"/>
      <c r="H55" s="46"/>
      <c r="I55" s="46"/>
    </row>
    <row r="56">
      <c r="A56" s="49"/>
      <c r="B56" s="46"/>
      <c r="C56" s="46"/>
      <c r="D56" s="46"/>
      <c r="E56" s="46"/>
      <c r="F56" s="46"/>
      <c r="G56" s="46"/>
      <c r="H56" s="46"/>
      <c r="I56" s="46"/>
    </row>
    <row r="57">
      <c r="A57" s="49"/>
      <c r="B57" s="46"/>
      <c r="C57" s="46"/>
      <c r="D57" s="46"/>
      <c r="E57" s="46"/>
      <c r="F57" s="46"/>
      <c r="G57" s="46"/>
      <c r="H57" s="46"/>
      <c r="I57" s="46"/>
    </row>
    <row r="58">
      <c r="A58" s="49"/>
      <c r="B58" s="46"/>
      <c r="C58" s="46"/>
      <c r="D58" s="46"/>
      <c r="E58" s="46"/>
      <c r="F58" s="46"/>
      <c r="G58" s="46"/>
      <c r="H58" s="46"/>
      <c r="I58" s="46"/>
    </row>
    <row r="59">
      <c r="A59" s="49"/>
      <c r="B59" s="46"/>
      <c r="C59" s="46"/>
      <c r="D59" s="46"/>
      <c r="E59" s="46"/>
      <c r="F59" s="46"/>
      <c r="G59" s="46"/>
      <c r="H59" s="46"/>
      <c r="I59" s="46"/>
    </row>
    <row r="60">
      <c r="A60" s="49"/>
      <c r="B60" s="46"/>
      <c r="C60" s="46"/>
      <c r="D60" s="46"/>
      <c r="E60" s="46"/>
      <c r="F60" s="46"/>
      <c r="G60" s="46"/>
      <c r="H60" s="46"/>
      <c r="I60" s="46"/>
    </row>
    <row r="61">
      <c r="A61" s="49"/>
      <c r="B61" s="46"/>
      <c r="C61" s="46"/>
      <c r="D61" s="46"/>
      <c r="E61" s="46"/>
      <c r="F61" s="46"/>
      <c r="G61" s="46"/>
      <c r="H61" s="46"/>
      <c r="I61" s="46"/>
    </row>
    <row r="62">
      <c r="A62" s="49"/>
      <c r="B62" s="46"/>
      <c r="C62" s="46"/>
      <c r="D62" s="46"/>
      <c r="E62" s="46"/>
      <c r="F62" s="46"/>
      <c r="G62" s="46"/>
      <c r="H62" s="46"/>
      <c r="I62" s="46"/>
    </row>
    <row r="63">
      <c r="A63" s="49"/>
      <c r="B63" s="46"/>
      <c r="C63" s="46"/>
      <c r="D63" s="46"/>
      <c r="E63" s="46"/>
      <c r="F63" s="46"/>
      <c r="G63" s="46"/>
      <c r="H63" s="46"/>
      <c r="I63" s="46"/>
    </row>
    <row r="64">
      <c r="A64" s="49"/>
      <c r="B64" s="46"/>
      <c r="C64" s="46"/>
      <c r="D64" s="46"/>
      <c r="E64" s="46"/>
      <c r="F64" s="46"/>
      <c r="G64" s="46"/>
      <c r="H64" s="46"/>
      <c r="I64" s="46"/>
    </row>
    <row r="65">
      <c r="A65" s="49"/>
      <c r="B65" s="46"/>
      <c r="C65" s="46"/>
      <c r="D65" s="46"/>
      <c r="E65" s="46"/>
      <c r="F65" s="46"/>
      <c r="G65" s="46"/>
      <c r="H65" s="46"/>
      <c r="I65" s="46"/>
    </row>
    <row r="66">
      <c r="A66" s="49"/>
      <c r="B66" s="46"/>
      <c r="C66" s="46"/>
      <c r="D66" s="46"/>
      <c r="E66" s="46"/>
      <c r="F66" s="46"/>
      <c r="G66" s="46"/>
      <c r="H66" s="46"/>
      <c r="I66" s="46"/>
    </row>
    <row r="67">
      <c r="A67" s="49"/>
      <c r="B67" s="46"/>
      <c r="C67" s="46"/>
      <c r="D67" s="46"/>
      <c r="E67" s="46"/>
      <c r="F67" s="46"/>
      <c r="G67" s="46"/>
      <c r="H67" s="46"/>
      <c r="I67" s="46"/>
    </row>
    <row r="68">
      <c r="A68" s="49"/>
      <c r="B68" s="46"/>
      <c r="C68" s="46"/>
      <c r="D68" s="46"/>
      <c r="E68" s="46"/>
      <c r="F68" s="46"/>
      <c r="G68" s="46"/>
      <c r="H68" s="46"/>
      <c r="I68" s="46"/>
    </row>
    <row r="69">
      <c r="A69" s="49"/>
      <c r="B69" s="46"/>
      <c r="C69" s="46"/>
      <c r="D69" s="46"/>
      <c r="E69" s="46"/>
      <c r="F69" s="46"/>
      <c r="G69" s="46"/>
      <c r="H69" s="46"/>
      <c r="I69" s="46"/>
    </row>
    <row r="70">
      <c r="A70" s="49"/>
      <c r="B70" s="46"/>
      <c r="C70" s="46"/>
      <c r="D70" s="46"/>
      <c r="E70" s="46"/>
      <c r="F70" s="46"/>
      <c r="G70" s="46"/>
      <c r="H70" s="46"/>
      <c r="I70" s="46"/>
    </row>
    <row r="71">
      <c r="A71" s="49"/>
      <c r="B71" s="46"/>
      <c r="C71" s="46"/>
      <c r="D71" s="46"/>
      <c r="E71" s="46"/>
      <c r="F71" s="46"/>
      <c r="G71" s="46"/>
      <c r="H71" s="46"/>
      <c r="I71" s="46"/>
    </row>
    <row r="72">
      <c r="A72" s="49"/>
      <c r="B72" s="46"/>
      <c r="C72" s="46"/>
      <c r="D72" s="46"/>
      <c r="E72" s="46"/>
      <c r="F72" s="46"/>
      <c r="G72" s="46"/>
      <c r="H72" s="46"/>
      <c r="I72" s="46"/>
    </row>
    <row r="73">
      <c r="A73" s="49"/>
      <c r="B73" s="46"/>
      <c r="C73" s="46"/>
      <c r="D73" s="46"/>
      <c r="E73" s="46"/>
      <c r="F73" s="46"/>
      <c r="G73" s="46"/>
      <c r="H73" s="46"/>
      <c r="I73" s="46"/>
    </row>
    <row r="74">
      <c r="A74" s="49"/>
      <c r="B74" s="46"/>
      <c r="C74" s="46"/>
      <c r="D74" s="46"/>
      <c r="E74" s="46"/>
      <c r="F74" s="46"/>
      <c r="G74" s="46"/>
      <c r="H74" s="46"/>
      <c r="I74" s="46"/>
    </row>
    <row r="75">
      <c r="A75" s="49"/>
      <c r="B75" s="46"/>
      <c r="C75" s="46"/>
      <c r="D75" s="46"/>
      <c r="E75" s="46"/>
      <c r="F75" s="46"/>
      <c r="G75" s="46"/>
      <c r="H75" s="46"/>
      <c r="I75" s="46"/>
    </row>
    <row r="76">
      <c r="A76" s="49"/>
      <c r="B76" s="46"/>
      <c r="C76" s="46"/>
      <c r="D76" s="46"/>
      <c r="E76" s="46"/>
      <c r="F76" s="46"/>
      <c r="G76" s="46"/>
      <c r="H76" s="46"/>
      <c r="I76" s="46"/>
    </row>
    <row r="77">
      <c r="A77" s="49"/>
      <c r="B77" s="46"/>
      <c r="C77" s="46"/>
      <c r="D77" s="46"/>
      <c r="E77" s="46"/>
      <c r="F77" s="46"/>
      <c r="G77" s="46"/>
      <c r="H77" s="46"/>
      <c r="I77" s="46"/>
    </row>
    <row r="78">
      <c r="A78" s="49"/>
      <c r="B78" s="46"/>
      <c r="C78" s="46"/>
      <c r="D78" s="46"/>
      <c r="E78" s="46"/>
      <c r="F78" s="46"/>
      <c r="G78" s="46"/>
      <c r="H78" s="46"/>
      <c r="I78" s="46"/>
    </row>
    <row r="79">
      <c r="A79" s="49"/>
      <c r="B79" s="46"/>
      <c r="C79" s="46"/>
      <c r="D79" s="46"/>
      <c r="E79" s="46"/>
      <c r="F79" s="46"/>
      <c r="G79" s="46"/>
      <c r="H79" s="46"/>
      <c r="I79" s="46"/>
    </row>
    <row r="80">
      <c r="A80" s="49"/>
      <c r="B80" s="46"/>
      <c r="C80" s="46"/>
      <c r="D80" s="46"/>
      <c r="E80" s="46"/>
      <c r="F80" s="46"/>
      <c r="G80" s="46"/>
      <c r="H80" s="46"/>
      <c r="I80" s="46"/>
    </row>
    <row r="81">
      <c r="A81" s="49"/>
      <c r="B81" s="46"/>
      <c r="C81" s="46"/>
      <c r="D81" s="46"/>
      <c r="E81" s="46"/>
      <c r="F81" s="46"/>
      <c r="G81" s="46"/>
      <c r="H81" s="46"/>
      <c r="I81" s="46"/>
    </row>
    <row r="82">
      <c r="A82" s="49"/>
      <c r="B82" s="46"/>
      <c r="C82" s="46"/>
      <c r="D82" s="46"/>
      <c r="E82" s="46"/>
      <c r="F82" s="46"/>
      <c r="G82" s="46"/>
      <c r="H82" s="46"/>
      <c r="I82" s="46"/>
    </row>
    <row r="83">
      <c r="A83" s="49"/>
      <c r="B83" s="46"/>
      <c r="C83" s="46"/>
      <c r="D83" s="46"/>
      <c r="E83" s="46"/>
      <c r="F83" s="46"/>
      <c r="G83" s="46"/>
      <c r="H83" s="46"/>
      <c r="I83" s="46"/>
    </row>
    <row r="84">
      <c r="A84" s="49"/>
      <c r="B84" s="46"/>
      <c r="C84" s="46"/>
      <c r="D84" s="46"/>
      <c r="E84" s="46"/>
      <c r="F84" s="46"/>
      <c r="G84" s="46"/>
      <c r="H84" s="46"/>
      <c r="I84" s="46"/>
    </row>
    <row r="85">
      <c r="A85" s="49"/>
      <c r="B85" s="46"/>
      <c r="C85" s="46"/>
      <c r="D85" s="46"/>
      <c r="E85" s="46"/>
      <c r="F85" s="46"/>
      <c r="G85" s="46"/>
      <c r="H85" s="46"/>
      <c r="I85" s="46"/>
    </row>
    <row r="86">
      <c r="A86" s="49"/>
      <c r="B86" s="46"/>
      <c r="C86" s="46"/>
      <c r="D86" s="46"/>
      <c r="E86" s="46"/>
      <c r="F86" s="46"/>
      <c r="G86" s="46"/>
      <c r="H86" s="46"/>
      <c r="I86" s="46"/>
    </row>
    <row r="87">
      <c r="A87" s="49"/>
      <c r="B87" s="46"/>
      <c r="C87" s="46"/>
      <c r="D87" s="46"/>
      <c r="E87" s="46"/>
      <c r="F87" s="46"/>
      <c r="G87" s="46"/>
      <c r="H87" s="46"/>
      <c r="I87" s="46"/>
    </row>
    <row r="88">
      <c r="A88" s="49"/>
      <c r="B88" s="46"/>
      <c r="C88" s="46"/>
      <c r="D88" s="46"/>
      <c r="E88" s="46"/>
      <c r="F88" s="46"/>
      <c r="G88" s="46"/>
      <c r="H88" s="46"/>
      <c r="I88" s="46"/>
    </row>
    <row r="89">
      <c r="A89" s="49"/>
      <c r="B89" s="46"/>
      <c r="C89" s="46"/>
      <c r="D89" s="46"/>
      <c r="E89" s="46"/>
      <c r="F89" s="46"/>
      <c r="G89" s="46"/>
      <c r="H89" s="46"/>
      <c r="I89" s="46"/>
    </row>
    <row r="90">
      <c r="A90" s="49"/>
      <c r="B90" s="46"/>
      <c r="C90" s="46"/>
      <c r="D90" s="46"/>
      <c r="E90" s="46"/>
      <c r="F90" s="46"/>
      <c r="G90" s="46"/>
      <c r="H90" s="46"/>
      <c r="I90" s="46"/>
    </row>
    <row r="91">
      <c r="A91" s="49"/>
      <c r="B91" s="46"/>
      <c r="C91" s="46"/>
      <c r="D91" s="46"/>
      <c r="E91" s="46"/>
      <c r="F91" s="46"/>
      <c r="G91" s="46"/>
      <c r="H91" s="46"/>
      <c r="I91" s="46"/>
    </row>
    <row r="92">
      <c r="A92" s="49"/>
      <c r="B92" s="46"/>
      <c r="C92" s="46"/>
      <c r="D92" s="46"/>
      <c r="E92" s="46"/>
      <c r="F92" s="46"/>
      <c r="G92" s="46"/>
      <c r="H92" s="46"/>
      <c r="I92" s="46"/>
    </row>
    <row r="93">
      <c r="A93" s="49"/>
      <c r="B93" s="46"/>
      <c r="C93" s="46"/>
      <c r="D93" s="46"/>
      <c r="E93" s="46"/>
      <c r="F93" s="46"/>
      <c r="G93" s="46"/>
      <c r="H93" s="46"/>
      <c r="I93" s="46"/>
    </row>
    <row r="94">
      <c r="A94" s="49"/>
      <c r="B94" s="46"/>
      <c r="C94" s="46"/>
      <c r="D94" s="46"/>
      <c r="E94" s="46"/>
      <c r="F94" s="46"/>
      <c r="G94" s="46"/>
      <c r="H94" s="46"/>
      <c r="I94" s="46"/>
    </row>
    <row r="95">
      <c r="A95" s="49"/>
      <c r="B95" s="46"/>
      <c r="C95" s="46"/>
      <c r="D95" s="46"/>
      <c r="E95" s="46"/>
      <c r="F95" s="46"/>
      <c r="G95" s="46"/>
      <c r="H95" s="46"/>
      <c r="I95" s="46"/>
    </row>
    <row r="96">
      <c r="A96" s="49"/>
      <c r="B96" s="46"/>
      <c r="C96" s="46"/>
      <c r="D96" s="46"/>
      <c r="E96" s="46"/>
      <c r="F96" s="46"/>
      <c r="G96" s="46"/>
      <c r="H96" s="46"/>
      <c r="I96" s="46"/>
    </row>
    <row r="97">
      <c r="A97" s="49"/>
      <c r="B97" s="46"/>
      <c r="C97" s="46"/>
      <c r="D97" s="46"/>
      <c r="E97" s="46"/>
      <c r="F97" s="46"/>
      <c r="G97" s="46"/>
      <c r="H97" s="46"/>
      <c r="I97" s="46"/>
    </row>
    <row r="98">
      <c r="A98" s="49"/>
      <c r="B98" s="46"/>
      <c r="C98" s="46"/>
      <c r="D98" s="46"/>
      <c r="E98" s="46"/>
      <c r="F98" s="46"/>
      <c r="G98" s="46"/>
      <c r="H98" s="46"/>
      <c r="I98" s="46"/>
    </row>
    <row r="99">
      <c r="A99" s="49"/>
      <c r="B99" s="46"/>
      <c r="C99" s="46"/>
      <c r="D99" s="46"/>
      <c r="E99" s="46"/>
      <c r="F99" s="46"/>
      <c r="G99" s="46"/>
      <c r="H99" s="46"/>
      <c r="I99" s="46"/>
    </row>
    <row r="100">
      <c r="A100" s="49"/>
      <c r="B100" s="46"/>
      <c r="C100" s="46"/>
      <c r="D100" s="46"/>
      <c r="E100" s="46"/>
      <c r="F100" s="46"/>
      <c r="G100" s="46"/>
      <c r="H100" s="46"/>
      <c r="I100" s="46"/>
    </row>
    <row r="101">
      <c r="A101" s="49"/>
      <c r="B101" s="46"/>
      <c r="C101" s="46"/>
      <c r="D101" s="46"/>
      <c r="E101" s="46"/>
      <c r="F101" s="46"/>
      <c r="G101" s="46"/>
      <c r="H101" s="46"/>
      <c r="I101" s="46"/>
    </row>
    <row r="102">
      <c r="A102" s="49"/>
      <c r="B102" s="46"/>
      <c r="C102" s="46"/>
      <c r="D102" s="46"/>
      <c r="E102" s="46"/>
      <c r="F102" s="46"/>
      <c r="G102" s="46"/>
      <c r="H102" s="46"/>
      <c r="I102" s="46"/>
    </row>
    <row r="103">
      <c r="A103" s="49"/>
      <c r="B103" s="46"/>
      <c r="C103" s="46"/>
      <c r="D103" s="46"/>
      <c r="E103" s="46"/>
      <c r="F103" s="46"/>
      <c r="G103" s="46"/>
      <c r="H103" s="46"/>
      <c r="I103" s="46"/>
    </row>
    <row r="104">
      <c r="A104" s="49"/>
      <c r="B104" s="46"/>
      <c r="C104" s="46"/>
      <c r="D104" s="46"/>
      <c r="E104" s="46"/>
      <c r="F104" s="46"/>
      <c r="G104" s="46"/>
      <c r="H104" s="46"/>
      <c r="I104" s="46"/>
    </row>
    <row r="105">
      <c r="A105" s="49"/>
      <c r="B105" s="46"/>
      <c r="C105" s="46"/>
      <c r="D105" s="46"/>
      <c r="E105" s="46"/>
      <c r="F105" s="46"/>
      <c r="G105" s="46"/>
      <c r="H105" s="46"/>
      <c r="I105" s="46"/>
    </row>
    <row r="106">
      <c r="A106" s="49"/>
      <c r="B106" s="46"/>
      <c r="C106" s="46"/>
      <c r="D106" s="46"/>
      <c r="E106" s="46"/>
      <c r="F106" s="46"/>
      <c r="G106" s="46"/>
      <c r="H106" s="46"/>
      <c r="I106" s="46"/>
    </row>
    <row r="107">
      <c r="A107" s="49"/>
      <c r="B107" s="46"/>
      <c r="C107" s="46"/>
      <c r="D107" s="46"/>
      <c r="E107" s="46"/>
      <c r="F107" s="46"/>
      <c r="G107" s="46"/>
      <c r="H107" s="46"/>
      <c r="I107" s="46"/>
    </row>
    <row r="108">
      <c r="A108" s="49"/>
      <c r="B108" s="46"/>
      <c r="C108" s="46"/>
      <c r="D108" s="46"/>
      <c r="E108" s="46"/>
      <c r="F108" s="46"/>
      <c r="G108" s="46"/>
      <c r="H108" s="46"/>
      <c r="I108" s="46"/>
    </row>
    <row r="109">
      <c r="A109" s="49"/>
      <c r="B109" s="46"/>
      <c r="C109" s="46"/>
      <c r="D109" s="46"/>
      <c r="E109" s="46"/>
      <c r="F109" s="46"/>
      <c r="G109" s="46"/>
      <c r="H109" s="46"/>
      <c r="I109" s="46"/>
    </row>
    <row r="110">
      <c r="A110" s="49"/>
      <c r="B110" s="46"/>
      <c r="C110" s="46"/>
      <c r="D110" s="46"/>
      <c r="E110" s="46"/>
      <c r="F110" s="46"/>
      <c r="G110" s="46"/>
      <c r="H110" s="46"/>
      <c r="I110" s="46"/>
    </row>
    <row r="111">
      <c r="A111" s="49"/>
      <c r="B111" s="46"/>
      <c r="C111" s="46"/>
      <c r="D111" s="46"/>
      <c r="E111" s="46"/>
      <c r="F111" s="46"/>
      <c r="G111" s="46"/>
      <c r="H111" s="46"/>
      <c r="I111" s="46"/>
    </row>
    <row r="112">
      <c r="A112" s="49"/>
      <c r="B112" s="46"/>
      <c r="C112" s="46"/>
      <c r="D112" s="46"/>
      <c r="E112" s="46"/>
      <c r="F112" s="46"/>
      <c r="G112" s="46"/>
      <c r="H112" s="46"/>
      <c r="I112" s="46"/>
    </row>
    <row r="113">
      <c r="A113" s="49"/>
      <c r="B113" s="46"/>
      <c r="C113" s="46"/>
      <c r="D113" s="46"/>
      <c r="E113" s="46"/>
      <c r="F113" s="46"/>
      <c r="G113" s="46"/>
      <c r="H113" s="46"/>
      <c r="I113" s="46"/>
    </row>
    <row r="114">
      <c r="A114" s="49"/>
      <c r="B114" s="46"/>
      <c r="C114" s="46"/>
      <c r="D114" s="46"/>
      <c r="E114" s="46"/>
      <c r="F114" s="46"/>
      <c r="G114" s="46"/>
      <c r="H114" s="46"/>
      <c r="I114" s="46"/>
    </row>
    <row r="115">
      <c r="A115" s="49"/>
      <c r="B115" s="46"/>
      <c r="C115" s="46"/>
      <c r="D115" s="46"/>
      <c r="E115" s="46"/>
      <c r="F115" s="46"/>
      <c r="G115" s="46"/>
      <c r="H115" s="46"/>
      <c r="I115" s="46"/>
    </row>
    <row r="116">
      <c r="A116" s="49"/>
      <c r="B116" s="46"/>
      <c r="C116" s="46"/>
      <c r="D116" s="46"/>
      <c r="E116" s="46"/>
      <c r="F116" s="46"/>
      <c r="G116" s="46"/>
      <c r="H116" s="46"/>
      <c r="I116" s="46"/>
    </row>
    <row r="117">
      <c r="A117" s="49"/>
      <c r="B117" s="46"/>
      <c r="C117" s="46"/>
      <c r="D117" s="46"/>
      <c r="E117" s="46"/>
      <c r="F117" s="46"/>
      <c r="G117" s="46"/>
      <c r="H117" s="46"/>
      <c r="I117" s="46"/>
    </row>
    <row r="118">
      <c r="A118" s="49"/>
      <c r="B118" s="46"/>
      <c r="C118" s="46"/>
      <c r="D118" s="46"/>
      <c r="E118" s="46"/>
      <c r="F118" s="46"/>
      <c r="G118" s="46"/>
      <c r="H118" s="46"/>
      <c r="I118" s="46"/>
    </row>
    <row r="119">
      <c r="A119" s="49"/>
      <c r="B119" s="46"/>
      <c r="C119" s="46"/>
      <c r="D119" s="46"/>
      <c r="E119" s="46"/>
      <c r="F119" s="46"/>
      <c r="G119" s="46"/>
      <c r="H119" s="46"/>
      <c r="I119" s="46"/>
    </row>
    <row r="120">
      <c r="A120" s="49"/>
      <c r="B120" s="46"/>
      <c r="C120" s="46"/>
      <c r="D120" s="46"/>
      <c r="E120" s="46"/>
      <c r="F120" s="46"/>
      <c r="G120" s="46"/>
      <c r="H120" s="46"/>
      <c r="I120" s="46"/>
    </row>
    <row r="121">
      <c r="A121" s="49"/>
      <c r="B121" s="46"/>
      <c r="C121" s="46"/>
      <c r="D121" s="46"/>
      <c r="E121" s="46"/>
      <c r="F121" s="46"/>
      <c r="G121" s="46"/>
      <c r="H121" s="46"/>
      <c r="I121" s="46"/>
    </row>
    <row r="122">
      <c r="A122" s="49"/>
      <c r="B122" s="46"/>
      <c r="C122" s="46"/>
      <c r="D122" s="46"/>
      <c r="E122" s="46"/>
      <c r="F122" s="46"/>
      <c r="G122" s="46"/>
      <c r="H122" s="46"/>
      <c r="I122" s="46"/>
    </row>
    <row r="123">
      <c r="A123" s="49"/>
      <c r="B123" s="46"/>
      <c r="C123" s="46"/>
      <c r="D123" s="46"/>
      <c r="E123" s="46"/>
      <c r="F123" s="46"/>
      <c r="G123" s="46"/>
      <c r="H123" s="46"/>
      <c r="I123" s="46"/>
    </row>
    <row r="124">
      <c r="A124" s="49"/>
      <c r="B124" s="46"/>
      <c r="C124" s="46"/>
      <c r="D124" s="46"/>
      <c r="E124" s="46"/>
      <c r="F124" s="46"/>
      <c r="G124" s="46"/>
      <c r="H124" s="46"/>
      <c r="I124" s="46"/>
    </row>
    <row r="125">
      <c r="A125" s="49"/>
      <c r="B125" s="46"/>
      <c r="C125" s="46"/>
      <c r="D125" s="46"/>
      <c r="E125" s="46"/>
      <c r="F125" s="46"/>
      <c r="G125" s="46"/>
      <c r="H125" s="46"/>
      <c r="I125" s="46"/>
    </row>
    <row r="126">
      <c r="A126" s="49"/>
      <c r="B126" s="46"/>
      <c r="C126" s="46"/>
      <c r="D126" s="46"/>
      <c r="E126" s="46"/>
      <c r="F126" s="46"/>
      <c r="G126" s="46"/>
      <c r="H126" s="46"/>
      <c r="I126" s="46"/>
    </row>
    <row r="127">
      <c r="A127" s="49"/>
      <c r="B127" s="46"/>
      <c r="C127" s="46"/>
      <c r="D127" s="46"/>
      <c r="E127" s="46"/>
      <c r="F127" s="46"/>
      <c r="G127" s="46"/>
      <c r="H127" s="46"/>
      <c r="I127" s="46"/>
    </row>
    <row r="128">
      <c r="A128" s="49"/>
      <c r="B128" s="46"/>
      <c r="C128" s="46"/>
      <c r="D128" s="46"/>
      <c r="E128" s="46"/>
      <c r="F128" s="46"/>
      <c r="G128" s="46"/>
      <c r="H128" s="46"/>
      <c r="I128" s="46"/>
    </row>
    <row r="129">
      <c r="A129" s="49"/>
      <c r="B129" s="46"/>
      <c r="C129" s="46"/>
      <c r="D129" s="46"/>
      <c r="E129" s="46"/>
      <c r="F129" s="46"/>
      <c r="G129" s="46"/>
      <c r="H129" s="46"/>
      <c r="I129" s="46"/>
    </row>
    <row r="130">
      <c r="A130" s="49"/>
      <c r="B130" s="46"/>
      <c r="C130" s="46"/>
      <c r="D130" s="46"/>
      <c r="E130" s="46"/>
      <c r="F130" s="46"/>
      <c r="G130" s="46"/>
      <c r="H130" s="46"/>
      <c r="I130" s="46"/>
    </row>
    <row r="131">
      <c r="A131" s="49"/>
      <c r="B131" s="46"/>
      <c r="C131" s="46"/>
      <c r="D131" s="46"/>
      <c r="E131" s="46"/>
      <c r="F131" s="46"/>
      <c r="G131" s="46"/>
      <c r="H131" s="46"/>
      <c r="I131" s="46"/>
    </row>
    <row r="132">
      <c r="A132" s="49"/>
      <c r="B132" s="46"/>
      <c r="C132" s="46"/>
      <c r="D132" s="46"/>
      <c r="E132" s="46"/>
      <c r="F132" s="46"/>
      <c r="G132" s="46"/>
      <c r="H132" s="46"/>
      <c r="I132" s="46"/>
    </row>
    <row r="133">
      <c r="A133" s="49"/>
      <c r="B133" s="46"/>
      <c r="C133" s="46"/>
      <c r="D133" s="46"/>
      <c r="E133" s="46"/>
      <c r="F133" s="46"/>
      <c r="G133" s="46"/>
      <c r="H133" s="46"/>
      <c r="I133" s="46"/>
    </row>
    <row r="134">
      <c r="A134" s="49"/>
      <c r="B134" s="46"/>
      <c r="C134" s="46"/>
      <c r="D134" s="46"/>
      <c r="E134" s="46"/>
      <c r="F134" s="46"/>
      <c r="G134" s="46"/>
      <c r="H134" s="46"/>
      <c r="I134" s="46"/>
    </row>
    <row r="135">
      <c r="A135" s="49"/>
      <c r="B135" s="46"/>
      <c r="C135" s="46"/>
      <c r="D135" s="46"/>
      <c r="E135" s="46"/>
      <c r="F135" s="46"/>
      <c r="G135" s="46"/>
      <c r="H135" s="46"/>
      <c r="I135" s="46"/>
    </row>
    <row r="136">
      <c r="A136" s="49"/>
      <c r="B136" s="46"/>
      <c r="C136" s="46"/>
      <c r="D136" s="46"/>
      <c r="E136" s="46"/>
      <c r="F136" s="46"/>
      <c r="G136" s="46"/>
      <c r="H136" s="46"/>
      <c r="I136" s="46"/>
    </row>
    <row r="137">
      <c r="A137" s="49"/>
      <c r="B137" s="46"/>
      <c r="C137" s="46"/>
      <c r="D137" s="46"/>
      <c r="E137" s="46"/>
      <c r="F137" s="46"/>
      <c r="G137" s="46"/>
      <c r="H137" s="46"/>
      <c r="I137" s="46"/>
    </row>
    <row r="138">
      <c r="A138" s="49"/>
      <c r="B138" s="46"/>
      <c r="C138" s="46"/>
      <c r="D138" s="46"/>
      <c r="E138" s="46"/>
      <c r="F138" s="46"/>
      <c r="G138" s="46"/>
      <c r="H138" s="46"/>
      <c r="I138" s="46"/>
    </row>
    <row r="139">
      <c r="A139" s="49"/>
      <c r="B139" s="46"/>
      <c r="C139" s="46"/>
      <c r="D139" s="46"/>
      <c r="E139" s="46"/>
      <c r="F139" s="46"/>
      <c r="G139" s="46"/>
      <c r="H139" s="46"/>
      <c r="I139" s="46"/>
    </row>
    <row r="140">
      <c r="A140" s="49"/>
      <c r="B140" s="46"/>
      <c r="C140" s="46"/>
      <c r="D140" s="46"/>
      <c r="E140" s="46"/>
      <c r="F140" s="46"/>
      <c r="G140" s="46"/>
      <c r="H140" s="46"/>
      <c r="I140" s="46"/>
    </row>
    <row r="141">
      <c r="A141" s="49"/>
      <c r="B141" s="46"/>
      <c r="C141" s="46"/>
      <c r="D141" s="46"/>
      <c r="E141" s="46"/>
      <c r="F141" s="46"/>
      <c r="G141" s="46"/>
      <c r="H141" s="46"/>
      <c r="I141" s="46"/>
    </row>
    <row r="142">
      <c r="A142" s="49"/>
      <c r="B142" s="46"/>
      <c r="C142" s="46"/>
      <c r="D142" s="46"/>
      <c r="E142" s="46"/>
      <c r="F142" s="46"/>
      <c r="G142" s="46"/>
      <c r="H142" s="46"/>
      <c r="I142" s="46"/>
    </row>
    <row r="143">
      <c r="A143" s="49"/>
      <c r="B143" s="46"/>
      <c r="C143" s="46"/>
      <c r="D143" s="46"/>
      <c r="E143" s="46"/>
      <c r="F143" s="46"/>
      <c r="G143" s="46"/>
      <c r="H143" s="46"/>
      <c r="I143" s="46"/>
    </row>
    <row r="144">
      <c r="A144" s="49"/>
      <c r="B144" s="46"/>
      <c r="C144" s="46"/>
      <c r="D144" s="46"/>
      <c r="E144" s="46"/>
      <c r="F144" s="46"/>
      <c r="G144" s="46"/>
      <c r="H144" s="46"/>
      <c r="I144" s="46"/>
    </row>
    <row r="145">
      <c r="A145" s="49"/>
      <c r="B145" s="46"/>
      <c r="C145" s="46"/>
      <c r="D145" s="46"/>
      <c r="E145" s="46"/>
      <c r="F145" s="46"/>
      <c r="G145" s="46"/>
      <c r="H145" s="46"/>
      <c r="I145" s="46"/>
    </row>
    <row r="146">
      <c r="A146" s="49"/>
      <c r="B146" s="46"/>
      <c r="C146" s="46"/>
      <c r="D146" s="46"/>
      <c r="E146" s="46"/>
      <c r="F146" s="46"/>
      <c r="G146" s="46"/>
      <c r="H146" s="46"/>
      <c r="I146" s="46"/>
    </row>
    <row r="147">
      <c r="A147" s="49"/>
      <c r="B147" s="46"/>
      <c r="C147" s="46"/>
      <c r="D147" s="46"/>
      <c r="E147" s="46"/>
      <c r="F147" s="46"/>
      <c r="G147" s="46"/>
      <c r="H147" s="46"/>
      <c r="I147" s="46"/>
    </row>
    <row r="148">
      <c r="A148" s="49"/>
      <c r="B148" s="46"/>
      <c r="C148" s="46"/>
      <c r="D148" s="46"/>
      <c r="E148" s="46"/>
      <c r="F148" s="46"/>
      <c r="G148" s="46"/>
      <c r="H148" s="46"/>
      <c r="I148" s="46"/>
    </row>
    <row r="149">
      <c r="A149" s="49"/>
      <c r="B149" s="46"/>
      <c r="C149" s="46"/>
      <c r="D149" s="46"/>
      <c r="E149" s="46"/>
      <c r="F149" s="46"/>
      <c r="G149" s="46"/>
      <c r="H149" s="46"/>
      <c r="I149" s="46"/>
    </row>
    <row r="150">
      <c r="A150" s="49"/>
      <c r="B150" s="46"/>
      <c r="C150" s="46"/>
      <c r="D150" s="46"/>
      <c r="E150" s="46"/>
      <c r="F150" s="46"/>
      <c r="G150" s="46"/>
      <c r="H150" s="46"/>
      <c r="I150" s="46"/>
    </row>
    <row r="151">
      <c r="A151" s="49"/>
      <c r="B151" s="46"/>
      <c r="C151" s="46"/>
      <c r="D151" s="46"/>
      <c r="E151" s="46"/>
      <c r="F151" s="46"/>
      <c r="G151" s="46"/>
      <c r="H151" s="46"/>
      <c r="I151" s="46"/>
    </row>
    <row r="152">
      <c r="A152" s="49"/>
      <c r="B152" s="46"/>
      <c r="C152" s="46"/>
      <c r="D152" s="46"/>
      <c r="E152" s="46"/>
      <c r="F152" s="46"/>
      <c r="G152" s="46"/>
      <c r="H152" s="46"/>
      <c r="I152" s="46"/>
    </row>
    <row r="153">
      <c r="A153" s="49"/>
      <c r="B153" s="46"/>
      <c r="C153" s="46"/>
      <c r="D153" s="46"/>
      <c r="E153" s="46"/>
      <c r="F153" s="46"/>
      <c r="G153" s="46"/>
      <c r="H153" s="46"/>
      <c r="I153" s="46"/>
    </row>
    <row r="154">
      <c r="A154" s="49"/>
      <c r="B154" s="46"/>
      <c r="C154" s="46"/>
      <c r="D154" s="46"/>
      <c r="E154" s="46"/>
      <c r="F154" s="46"/>
      <c r="G154" s="46"/>
      <c r="H154" s="46"/>
      <c r="I154" s="46"/>
    </row>
    <row r="155">
      <c r="A155" s="49"/>
      <c r="B155" s="46"/>
      <c r="C155" s="46"/>
      <c r="D155" s="46"/>
      <c r="E155" s="46"/>
      <c r="F155" s="46"/>
      <c r="G155" s="46"/>
      <c r="H155" s="46"/>
      <c r="I155" s="46"/>
    </row>
    <row r="156">
      <c r="A156" s="49"/>
      <c r="B156" s="46"/>
      <c r="C156" s="46"/>
      <c r="D156" s="46"/>
      <c r="E156" s="46"/>
      <c r="F156" s="46"/>
      <c r="G156" s="46"/>
      <c r="H156" s="46"/>
      <c r="I156" s="46"/>
    </row>
    <row r="157">
      <c r="A157" s="49"/>
      <c r="B157" s="46"/>
      <c r="C157" s="46"/>
      <c r="D157" s="46"/>
      <c r="E157" s="46"/>
      <c r="F157" s="46"/>
      <c r="G157" s="46"/>
      <c r="H157" s="46"/>
      <c r="I157" s="46"/>
    </row>
    <row r="158">
      <c r="A158" s="49"/>
      <c r="B158" s="46"/>
      <c r="C158" s="46"/>
      <c r="D158" s="46"/>
      <c r="E158" s="46"/>
      <c r="F158" s="46"/>
      <c r="G158" s="46"/>
      <c r="H158" s="46"/>
      <c r="I158" s="46"/>
    </row>
    <row r="159">
      <c r="A159" s="49"/>
      <c r="B159" s="46"/>
      <c r="C159" s="46"/>
      <c r="D159" s="46"/>
      <c r="E159" s="46"/>
      <c r="F159" s="46"/>
      <c r="G159" s="46"/>
      <c r="H159" s="46"/>
      <c r="I159" s="46"/>
    </row>
    <row r="160">
      <c r="A160" s="49"/>
      <c r="B160" s="46"/>
      <c r="C160" s="46"/>
      <c r="D160" s="46"/>
      <c r="E160" s="46"/>
      <c r="F160" s="46"/>
      <c r="G160" s="46"/>
      <c r="H160" s="46"/>
      <c r="I160" s="46"/>
    </row>
    <row r="161">
      <c r="A161" s="49"/>
      <c r="B161" s="46"/>
      <c r="C161" s="46"/>
      <c r="D161" s="46"/>
      <c r="E161" s="46"/>
      <c r="F161" s="46"/>
      <c r="G161" s="46"/>
      <c r="H161" s="46"/>
      <c r="I161" s="46"/>
    </row>
    <row r="162">
      <c r="A162" s="49"/>
      <c r="B162" s="46"/>
      <c r="C162" s="46"/>
      <c r="D162" s="46"/>
      <c r="E162" s="46"/>
      <c r="F162" s="46"/>
      <c r="G162" s="46"/>
      <c r="H162" s="46"/>
      <c r="I162" s="46"/>
    </row>
    <row r="163">
      <c r="A163" s="49"/>
      <c r="B163" s="46"/>
      <c r="C163" s="46"/>
      <c r="D163" s="46"/>
      <c r="E163" s="46"/>
      <c r="F163" s="46"/>
      <c r="G163" s="46"/>
      <c r="H163" s="46"/>
      <c r="I163" s="46"/>
    </row>
    <row r="164">
      <c r="A164" s="49"/>
      <c r="B164" s="46"/>
      <c r="C164" s="46"/>
      <c r="D164" s="46"/>
      <c r="E164" s="46"/>
      <c r="F164" s="46"/>
      <c r="G164" s="46"/>
      <c r="H164" s="46"/>
      <c r="I164" s="46"/>
    </row>
    <row r="165">
      <c r="A165" s="49"/>
      <c r="B165" s="46"/>
      <c r="C165" s="46"/>
      <c r="D165" s="46"/>
      <c r="E165" s="46"/>
      <c r="F165" s="46"/>
      <c r="G165" s="46"/>
      <c r="H165" s="46"/>
      <c r="I165" s="46"/>
    </row>
    <row r="166">
      <c r="A166" s="49"/>
      <c r="B166" s="46"/>
      <c r="C166" s="46"/>
      <c r="D166" s="46"/>
      <c r="E166" s="46"/>
      <c r="F166" s="46"/>
      <c r="G166" s="46"/>
      <c r="H166" s="46"/>
      <c r="I166" s="46"/>
    </row>
    <row r="167">
      <c r="A167" s="49"/>
      <c r="B167" s="46"/>
      <c r="C167" s="46"/>
      <c r="D167" s="46"/>
      <c r="E167" s="46"/>
      <c r="F167" s="46"/>
      <c r="G167" s="46"/>
      <c r="H167" s="46"/>
      <c r="I167" s="46"/>
    </row>
    <row r="168">
      <c r="A168" s="49"/>
      <c r="B168" s="46"/>
      <c r="C168" s="46"/>
      <c r="D168" s="46"/>
      <c r="E168" s="46"/>
      <c r="F168" s="46"/>
      <c r="G168" s="46"/>
      <c r="H168" s="46"/>
      <c r="I168" s="46"/>
    </row>
    <row r="169">
      <c r="A169" s="49"/>
      <c r="B169" s="46"/>
      <c r="C169" s="46"/>
      <c r="D169" s="46"/>
      <c r="E169" s="46"/>
      <c r="F169" s="46"/>
      <c r="G169" s="46"/>
      <c r="H169" s="46"/>
      <c r="I169" s="46"/>
    </row>
    <row r="170">
      <c r="A170" s="49"/>
      <c r="B170" s="46"/>
      <c r="C170" s="46"/>
      <c r="D170" s="46"/>
      <c r="E170" s="46"/>
      <c r="F170" s="46"/>
      <c r="G170" s="46"/>
      <c r="H170" s="46"/>
      <c r="I170" s="46"/>
    </row>
    <row r="171">
      <c r="A171" s="49"/>
      <c r="B171" s="46"/>
      <c r="C171" s="46"/>
      <c r="D171" s="46"/>
      <c r="E171" s="46"/>
      <c r="F171" s="46"/>
      <c r="G171" s="46"/>
      <c r="H171" s="46"/>
      <c r="I171" s="46"/>
    </row>
    <row r="172">
      <c r="A172" s="49"/>
      <c r="B172" s="46"/>
      <c r="C172" s="46"/>
      <c r="D172" s="46"/>
      <c r="E172" s="46"/>
      <c r="F172" s="46"/>
      <c r="G172" s="46"/>
      <c r="H172" s="46"/>
      <c r="I172" s="46"/>
    </row>
    <row r="173">
      <c r="A173" s="49"/>
      <c r="B173" s="46"/>
      <c r="C173" s="46"/>
      <c r="D173" s="46"/>
      <c r="E173" s="46"/>
      <c r="F173" s="46"/>
      <c r="G173" s="46"/>
      <c r="H173" s="46"/>
      <c r="I173" s="46"/>
    </row>
    <row r="174">
      <c r="A174" s="49"/>
      <c r="B174" s="46"/>
      <c r="C174" s="46"/>
      <c r="D174" s="46"/>
      <c r="E174" s="46"/>
      <c r="F174" s="46"/>
      <c r="G174" s="46"/>
      <c r="H174" s="46"/>
      <c r="I174" s="46"/>
    </row>
    <row r="175">
      <c r="A175" s="49"/>
      <c r="B175" s="46"/>
      <c r="C175" s="46"/>
      <c r="D175" s="46"/>
      <c r="E175" s="46"/>
      <c r="F175" s="46"/>
      <c r="G175" s="46"/>
      <c r="H175" s="46"/>
      <c r="I175" s="46"/>
    </row>
    <row r="176">
      <c r="A176" s="49"/>
      <c r="B176" s="46"/>
      <c r="C176" s="46"/>
      <c r="D176" s="46"/>
      <c r="E176" s="46"/>
      <c r="F176" s="46"/>
      <c r="G176" s="46"/>
      <c r="H176" s="46"/>
      <c r="I176" s="46"/>
    </row>
    <row r="177">
      <c r="A177" s="49"/>
      <c r="B177" s="46"/>
      <c r="C177" s="46"/>
      <c r="D177" s="46"/>
      <c r="E177" s="46"/>
      <c r="F177" s="46"/>
      <c r="G177" s="46"/>
      <c r="H177" s="46"/>
      <c r="I177" s="46"/>
    </row>
    <row r="178">
      <c r="A178" s="49"/>
      <c r="B178" s="46"/>
      <c r="C178" s="46"/>
      <c r="D178" s="46"/>
      <c r="E178" s="46"/>
      <c r="F178" s="46"/>
      <c r="G178" s="46"/>
      <c r="H178" s="46"/>
      <c r="I178" s="46"/>
    </row>
    <row r="179">
      <c r="A179" s="49"/>
      <c r="B179" s="46"/>
      <c r="C179" s="46"/>
      <c r="D179" s="46"/>
      <c r="E179" s="46"/>
      <c r="F179" s="46"/>
      <c r="G179" s="46"/>
      <c r="H179" s="46"/>
      <c r="I179" s="46"/>
    </row>
    <row r="180">
      <c r="A180" s="49"/>
      <c r="B180" s="46"/>
      <c r="C180" s="46"/>
      <c r="D180" s="46"/>
      <c r="E180" s="46"/>
      <c r="F180" s="46"/>
      <c r="G180" s="46"/>
      <c r="H180" s="46"/>
      <c r="I180" s="46"/>
    </row>
    <row r="181">
      <c r="A181" s="49"/>
      <c r="B181" s="46"/>
      <c r="C181" s="46"/>
      <c r="D181" s="46"/>
      <c r="E181" s="46"/>
      <c r="F181" s="46"/>
      <c r="G181" s="46"/>
      <c r="H181" s="46"/>
      <c r="I181" s="46"/>
    </row>
    <row r="182">
      <c r="A182" s="49"/>
      <c r="B182" s="46"/>
      <c r="C182" s="46"/>
      <c r="D182" s="46"/>
      <c r="E182" s="46"/>
      <c r="F182" s="46"/>
      <c r="G182" s="46"/>
      <c r="H182" s="46"/>
      <c r="I182" s="46"/>
    </row>
    <row r="183">
      <c r="A183" s="49"/>
      <c r="B183" s="46"/>
      <c r="C183" s="46"/>
      <c r="D183" s="46"/>
      <c r="E183" s="46"/>
      <c r="F183" s="46"/>
      <c r="G183" s="46"/>
      <c r="H183" s="46"/>
      <c r="I183" s="46"/>
    </row>
    <row r="184">
      <c r="A184" s="49"/>
      <c r="B184" s="46"/>
      <c r="C184" s="46"/>
      <c r="D184" s="46"/>
      <c r="E184" s="46"/>
      <c r="F184" s="46"/>
      <c r="G184" s="46"/>
      <c r="H184" s="46"/>
      <c r="I184" s="46"/>
    </row>
    <row r="185">
      <c r="A185" s="49"/>
      <c r="B185" s="46"/>
      <c r="C185" s="46"/>
      <c r="D185" s="46"/>
      <c r="E185" s="46"/>
      <c r="F185" s="46"/>
      <c r="G185" s="46"/>
      <c r="H185" s="46"/>
      <c r="I185" s="46"/>
    </row>
    <row r="186">
      <c r="A186" s="49"/>
      <c r="B186" s="46"/>
      <c r="C186" s="46"/>
      <c r="D186" s="46"/>
      <c r="E186" s="46"/>
      <c r="F186" s="46"/>
      <c r="G186" s="46"/>
      <c r="H186" s="46"/>
      <c r="I186" s="46"/>
    </row>
    <row r="187">
      <c r="A187" s="49"/>
      <c r="B187" s="46"/>
      <c r="C187" s="46"/>
      <c r="D187" s="46"/>
      <c r="E187" s="46"/>
      <c r="F187" s="46"/>
      <c r="G187" s="46"/>
      <c r="H187" s="46"/>
      <c r="I187" s="46"/>
    </row>
    <row r="188">
      <c r="A188" s="49"/>
      <c r="B188" s="46"/>
      <c r="C188" s="46"/>
      <c r="D188" s="46"/>
      <c r="E188" s="46"/>
      <c r="F188" s="46"/>
      <c r="G188" s="46"/>
      <c r="H188" s="46"/>
      <c r="I188" s="46"/>
    </row>
    <row r="189">
      <c r="A189" s="49"/>
      <c r="B189" s="46"/>
      <c r="C189" s="46"/>
      <c r="D189" s="46"/>
      <c r="E189" s="46"/>
      <c r="F189" s="46"/>
      <c r="G189" s="46"/>
      <c r="H189" s="46"/>
      <c r="I189" s="46"/>
    </row>
    <row r="190">
      <c r="A190" s="49"/>
      <c r="B190" s="46"/>
      <c r="C190" s="46"/>
      <c r="D190" s="46"/>
      <c r="E190" s="46"/>
      <c r="F190" s="46"/>
      <c r="G190" s="46"/>
      <c r="H190" s="46"/>
      <c r="I190" s="46"/>
    </row>
    <row r="191">
      <c r="A191" s="49"/>
      <c r="B191" s="46"/>
      <c r="C191" s="46"/>
      <c r="D191" s="46"/>
      <c r="E191" s="46"/>
      <c r="F191" s="46"/>
      <c r="G191" s="46"/>
      <c r="H191" s="46"/>
      <c r="I191" s="46"/>
    </row>
    <row r="192">
      <c r="A192" s="49"/>
      <c r="B192" s="46"/>
      <c r="C192" s="46"/>
      <c r="D192" s="46"/>
      <c r="E192" s="46"/>
      <c r="F192" s="46"/>
      <c r="G192" s="46"/>
      <c r="H192" s="46"/>
      <c r="I192" s="46"/>
    </row>
    <row r="193">
      <c r="A193" s="49"/>
      <c r="B193" s="46"/>
      <c r="C193" s="46"/>
      <c r="D193" s="46"/>
      <c r="E193" s="46"/>
      <c r="F193" s="46"/>
      <c r="G193" s="46"/>
      <c r="H193" s="46"/>
      <c r="I193" s="46"/>
    </row>
    <row r="194">
      <c r="A194" s="49"/>
      <c r="B194" s="46"/>
      <c r="C194" s="46"/>
      <c r="D194" s="46"/>
      <c r="E194" s="46"/>
      <c r="F194" s="46"/>
      <c r="G194" s="46"/>
      <c r="H194" s="46"/>
      <c r="I194" s="46"/>
    </row>
    <row r="195">
      <c r="A195" s="49"/>
      <c r="B195" s="46"/>
      <c r="C195" s="46"/>
      <c r="D195" s="46"/>
      <c r="E195" s="46"/>
      <c r="F195" s="46"/>
      <c r="G195" s="46"/>
      <c r="H195" s="46"/>
      <c r="I195" s="46"/>
    </row>
    <row r="196">
      <c r="A196" s="49"/>
      <c r="B196" s="46"/>
      <c r="C196" s="46"/>
      <c r="D196" s="46"/>
      <c r="E196" s="46"/>
      <c r="F196" s="46"/>
      <c r="G196" s="46"/>
      <c r="H196" s="46"/>
      <c r="I196" s="46"/>
    </row>
    <row r="197">
      <c r="A197" s="49"/>
      <c r="B197" s="46"/>
      <c r="C197" s="46"/>
      <c r="D197" s="46"/>
      <c r="E197" s="46"/>
      <c r="F197" s="46"/>
      <c r="G197" s="46"/>
      <c r="H197" s="46"/>
      <c r="I197" s="46"/>
    </row>
    <row r="198">
      <c r="A198" s="49"/>
      <c r="B198" s="46"/>
      <c r="C198" s="46"/>
      <c r="D198" s="46"/>
      <c r="E198" s="46"/>
      <c r="F198" s="46"/>
      <c r="G198" s="46"/>
      <c r="H198" s="46"/>
      <c r="I198" s="46"/>
    </row>
    <row r="199">
      <c r="A199" s="49"/>
      <c r="B199" s="46"/>
      <c r="C199" s="46"/>
      <c r="D199" s="46"/>
      <c r="E199" s="46"/>
      <c r="F199" s="46"/>
      <c r="G199" s="46"/>
      <c r="H199" s="46"/>
      <c r="I199" s="46"/>
    </row>
    <row r="200">
      <c r="A200" s="49"/>
      <c r="B200" s="46"/>
      <c r="C200" s="46"/>
      <c r="D200" s="46"/>
      <c r="E200" s="46"/>
      <c r="F200" s="46"/>
      <c r="G200" s="46"/>
      <c r="H200" s="46"/>
      <c r="I200" s="46"/>
    </row>
    <row r="201">
      <c r="A201" s="49"/>
      <c r="B201" s="46"/>
      <c r="C201" s="46"/>
      <c r="D201" s="46"/>
      <c r="E201" s="46"/>
      <c r="F201" s="46"/>
      <c r="G201" s="46"/>
      <c r="H201" s="46"/>
      <c r="I201" s="46"/>
    </row>
    <row r="202">
      <c r="A202" s="49"/>
      <c r="B202" s="46"/>
      <c r="C202" s="46"/>
      <c r="D202" s="46"/>
      <c r="E202" s="46"/>
      <c r="F202" s="46"/>
      <c r="G202" s="46"/>
      <c r="H202" s="46"/>
      <c r="I202" s="46"/>
    </row>
    <row r="203">
      <c r="A203" s="49"/>
      <c r="B203" s="46"/>
      <c r="C203" s="46"/>
      <c r="D203" s="46"/>
      <c r="E203" s="46"/>
      <c r="F203" s="46"/>
      <c r="G203" s="46"/>
      <c r="H203" s="46"/>
      <c r="I203" s="46"/>
    </row>
    <row r="204">
      <c r="A204" s="49"/>
      <c r="B204" s="46"/>
      <c r="C204" s="46"/>
      <c r="D204" s="46"/>
      <c r="E204" s="46"/>
      <c r="F204" s="46"/>
      <c r="G204" s="46"/>
      <c r="H204" s="46"/>
      <c r="I204" s="46"/>
    </row>
    <row r="205">
      <c r="A205" s="49"/>
      <c r="B205" s="46"/>
      <c r="C205" s="46"/>
      <c r="D205" s="46"/>
      <c r="E205" s="46"/>
      <c r="F205" s="46"/>
      <c r="G205" s="46"/>
      <c r="H205" s="46"/>
      <c r="I205" s="46"/>
    </row>
    <row r="206">
      <c r="A206" s="49"/>
      <c r="B206" s="46"/>
      <c r="C206" s="46"/>
      <c r="D206" s="46"/>
      <c r="E206" s="46"/>
      <c r="F206" s="46"/>
      <c r="G206" s="46"/>
      <c r="H206" s="46"/>
      <c r="I206" s="46"/>
    </row>
    <row r="207">
      <c r="A207" s="49"/>
      <c r="B207" s="46"/>
      <c r="C207" s="46"/>
      <c r="D207" s="46"/>
      <c r="E207" s="46"/>
      <c r="F207" s="46"/>
      <c r="G207" s="46"/>
      <c r="H207" s="46"/>
      <c r="I207" s="46"/>
    </row>
    <row r="208">
      <c r="A208" s="49"/>
      <c r="B208" s="46"/>
      <c r="C208" s="46"/>
      <c r="D208" s="46"/>
      <c r="E208" s="46"/>
      <c r="F208" s="46"/>
      <c r="G208" s="46"/>
      <c r="H208" s="46"/>
      <c r="I208" s="46"/>
    </row>
    <row r="209">
      <c r="A209" s="49"/>
      <c r="B209" s="46"/>
      <c r="C209" s="46"/>
      <c r="D209" s="46"/>
      <c r="E209" s="46"/>
      <c r="F209" s="46"/>
      <c r="G209" s="46"/>
      <c r="H209" s="46"/>
      <c r="I209" s="46"/>
    </row>
    <row r="210">
      <c r="A210" s="49"/>
      <c r="B210" s="46"/>
      <c r="C210" s="46"/>
      <c r="D210" s="46"/>
      <c r="E210" s="46"/>
      <c r="F210" s="46"/>
      <c r="G210" s="46"/>
      <c r="H210" s="46"/>
      <c r="I210" s="46"/>
    </row>
    <row r="211">
      <c r="A211" s="49"/>
      <c r="B211" s="46"/>
      <c r="C211" s="46"/>
      <c r="D211" s="46"/>
      <c r="E211" s="46"/>
      <c r="F211" s="46"/>
      <c r="G211" s="46"/>
      <c r="H211" s="46"/>
      <c r="I211" s="46"/>
    </row>
    <row r="212">
      <c r="A212" s="49"/>
      <c r="B212" s="46"/>
      <c r="C212" s="46"/>
      <c r="D212" s="46"/>
      <c r="E212" s="46"/>
      <c r="F212" s="46"/>
      <c r="G212" s="46"/>
      <c r="H212" s="46"/>
      <c r="I212" s="46"/>
    </row>
    <row r="213">
      <c r="A213" s="49"/>
      <c r="B213" s="46"/>
      <c r="C213" s="46"/>
      <c r="D213" s="46"/>
      <c r="E213" s="46"/>
      <c r="F213" s="46"/>
      <c r="G213" s="46"/>
      <c r="H213" s="46"/>
      <c r="I213" s="46"/>
    </row>
    <row r="214">
      <c r="A214" s="49"/>
      <c r="B214" s="46"/>
      <c r="C214" s="46"/>
      <c r="D214" s="46"/>
      <c r="E214" s="46"/>
      <c r="F214" s="46"/>
      <c r="G214" s="46"/>
      <c r="H214" s="46"/>
      <c r="I214" s="46"/>
    </row>
    <row r="215">
      <c r="A215" s="49"/>
      <c r="B215" s="46"/>
      <c r="C215" s="46"/>
      <c r="D215" s="46"/>
      <c r="E215" s="46"/>
      <c r="F215" s="46"/>
      <c r="G215" s="46"/>
      <c r="H215" s="46"/>
      <c r="I215" s="46"/>
    </row>
    <row r="216">
      <c r="A216" s="49"/>
      <c r="B216" s="46"/>
      <c r="C216" s="46"/>
      <c r="D216" s="46"/>
      <c r="E216" s="46"/>
      <c r="F216" s="46"/>
      <c r="G216" s="46"/>
      <c r="H216" s="46"/>
      <c r="I216" s="46"/>
    </row>
    <row r="217">
      <c r="A217" s="49"/>
      <c r="B217" s="46"/>
      <c r="C217" s="46"/>
      <c r="D217" s="46"/>
      <c r="E217" s="46"/>
      <c r="F217" s="46"/>
      <c r="G217" s="46"/>
      <c r="H217" s="46"/>
      <c r="I217" s="46"/>
    </row>
    <row r="218">
      <c r="A218" s="49"/>
      <c r="B218" s="46"/>
      <c r="C218" s="46"/>
      <c r="D218" s="46"/>
      <c r="E218" s="46"/>
      <c r="F218" s="46"/>
      <c r="G218" s="46"/>
      <c r="H218" s="46"/>
      <c r="I218" s="46"/>
    </row>
    <row r="219">
      <c r="A219" s="49"/>
      <c r="B219" s="46"/>
      <c r="C219" s="46"/>
      <c r="D219" s="46"/>
      <c r="E219" s="46"/>
      <c r="F219" s="46"/>
      <c r="G219" s="46"/>
      <c r="H219" s="46"/>
      <c r="I219" s="46"/>
    </row>
    <row r="220">
      <c r="A220" s="49"/>
      <c r="B220" s="46"/>
      <c r="C220" s="46"/>
      <c r="D220" s="46"/>
      <c r="E220" s="46"/>
      <c r="F220" s="46"/>
      <c r="G220" s="46"/>
      <c r="H220" s="46"/>
      <c r="I220" s="46"/>
    </row>
    <row r="221">
      <c r="A221" s="49"/>
      <c r="B221" s="46"/>
      <c r="C221" s="46"/>
      <c r="D221" s="46"/>
      <c r="E221" s="46"/>
      <c r="F221" s="46"/>
      <c r="G221" s="46"/>
      <c r="H221" s="46"/>
      <c r="I221" s="46"/>
    </row>
    <row r="222">
      <c r="A222" s="49"/>
      <c r="B222" s="46"/>
      <c r="C222" s="46"/>
      <c r="D222" s="46"/>
      <c r="E222" s="46"/>
      <c r="F222" s="46"/>
      <c r="G222" s="46"/>
      <c r="H222" s="46"/>
      <c r="I222" s="46"/>
    </row>
    <row r="223">
      <c r="A223" s="49"/>
      <c r="B223" s="46"/>
      <c r="C223" s="46"/>
      <c r="D223" s="46"/>
      <c r="E223" s="46"/>
      <c r="F223" s="46"/>
      <c r="G223" s="46"/>
      <c r="H223" s="46"/>
      <c r="I223" s="46"/>
    </row>
    <row r="224">
      <c r="A224" s="49"/>
      <c r="B224" s="46"/>
      <c r="C224" s="46"/>
      <c r="D224" s="46"/>
      <c r="E224" s="46"/>
      <c r="F224" s="46"/>
      <c r="G224" s="46"/>
      <c r="H224" s="46"/>
      <c r="I224" s="46"/>
    </row>
    <row r="225">
      <c r="A225" s="49"/>
      <c r="B225" s="46"/>
      <c r="C225" s="46"/>
      <c r="D225" s="46"/>
      <c r="E225" s="46"/>
      <c r="F225" s="46"/>
      <c r="G225" s="46"/>
      <c r="H225" s="46"/>
      <c r="I225" s="46"/>
    </row>
    <row r="226">
      <c r="A226" s="49"/>
      <c r="B226" s="46"/>
      <c r="C226" s="46"/>
      <c r="D226" s="46"/>
      <c r="E226" s="46"/>
      <c r="F226" s="46"/>
      <c r="G226" s="46"/>
      <c r="H226" s="46"/>
      <c r="I226" s="46"/>
    </row>
    <row r="227">
      <c r="A227" s="49"/>
      <c r="B227" s="46"/>
      <c r="C227" s="46"/>
      <c r="D227" s="46"/>
      <c r="E227" s="46"/>
      <c r="F227" s="46"/>
      <c r="G227" s="46"/>
      <c r="H227" s="46"/>
      <c r="I227" s="46"/>
    </row>
    <row r="228">
      <c r="A228" s="49"/>
      <c r="B228" s="46"/>
      <c r="C228" s="46"/>
      <c r="D228" s="46"/>
      <c r="E228" s="46"/>
      <c r="F228" s="46"/>
      <c r="G228" s="46"/>
      <c r="H228" s="46"/>
      <c r="I228" s="46"/>
    </row>
    <row r="229">
      <c r="A229" s="49"/>
      <c r="B229" s="46"/>
      <c r="C229" s="46"/>
      <c r="D229" s="46"/>
      <c r="E229" s="46"/>
      <c r="F229" s="46"/>
      <c r="G229" s="46"/>
      <c r="H229" s="46"/>
      <c r="I229" s="46"/>
    </row>
    <row r="230">
      <c r="A230" s="49"/>
      <c r="B230" s="46"/>
      <c r="C230" s="46"/>
      <c r="D230" s="46"/>
      <c r="E230" s="46"/>
      <c r="F230" s="46"/>
      <c r="G230" s="46"/>
      <c r="H230" s="46"/>
      <c r="I230" s="46"/>
    </row>
    <row r="231">
      <c r="A231" s="49"/>
      <c r="B231" s="46"/>
      <c r="C231" s="46"/>
      <c r="D231" s="46"/>
      <c r="E231" s="46"/>
      <c r="F231" s="46"/>
      <c r="G231" s="46"/>
      <c r="H231" s="46"/>
      <c r="I231" s="46"/>
    </row>
    <row r="232">
      <c r="A232" s="49"/>
      <c r="B232" s="46"/>
      <c r="C232" s="46"/>
      <c r="D232" s="46"/>
      <c r="E232" s="46"/>
      <c r="F232" s="46"/>
      <c r="G232" s="46"/>
      <c r="H232" s="46"/>
      <c r="I232" s="46"/>
    </row>
    <row r="233">
      <c r="A233" s="49"/>
      <c r="B233" s="46"/>
      <c r="C233" s="46"/>
      <c r="D233" s="46"/>
      <c r="E233" s="46"/>
      <c r="F233" s="46"/>
      <c r="G233" s="46"/>
      <c r="H233" s="46"/>
      <c r="I233" s="46"/>
    </row>
    <row r="234">
      <c r="A234" s="49"/>
      <c r="B234" s="46"/>
      <c r="C234" s="46"/>
      <c r="D234" s="46"/>
      <c r="E234" s="46"/>
      <c r="F234" s="46"/>
      <c r="G234" s="46"/>
      <c r="H234" s="46"/>
      <c r="I234" s="46"/>
    </row>
    <row r="235">
      <c r="A235" s="49"/>
      <c r="B235" s="46"/>
      <c r="C235" s="46"/>
      <c r="D235" s="46"/>
      <c r="E235" s="46"/>
      <c r="F235" s="46"/>
      <c r="G235" s="46"/>
      <c r="H235" s="46"/>
      <c r="I235" s="46"/>
    </row>
    <row r="236">
      <c r="A236" s="49"/>
      <c r="B236" s="46"/>
      <c r="C236" s="46"/>
      <c r="D236" s="46"/>
      <c r="E236" s="46"/>
      <c r="F236" s="46"/>
      <c r="G236" s="46"/>
      <c r="H236" s="46"/>
      <c r="I236" s="46"/>
    </row>
    <row r="237">
      <c r="A237" s="49"/>
      <c r="B237" s="46"/>
      <c r="C237" s="46"/>
      <c r="D237" s="46"/>
      <c r="E237" s="46"/>
      <c r="F237" s="46"/>
      <c r="G237" s="46"/>
      <c r="H237" s="46"/>
      <c r="I237" s="46"/>
    </row>
    <row r="238">
      <c r="A238" s="49"/>
      <c r="B238" s="46"/>
      <c r="C238" s="46"/>
      <c r="D238" s="46"/>
      <c r="E238" s="46"/>
      <c r="F238" s="46"/>
      <c r="G238" s="46"/>
      <c r="H238" s="46"/>
      <c r="I238" s="46"/>
    </row>
    <row r="239">
      <c r="A239" s="49"/>
      <c r="B239" s="46"/>
      <c r="C239" s="46"/>
      <c r="D239" s="46"/>
      <c r="E239" s="46"/>
      <c r="F239" s="46"/>
      <c r="G239" s="46"/>
      <c r="H239" s="46"/>
      <c r="I239" s="46"/>
    </row>
    <row r="240">
      <c r="A240" s="49"/>
      <c r="B240" s="46"/>
      <c r="C240" s="46"/>
      <c r="D240" s="46"/>
      <c r="E240" s="46"/>
      <c r="F240" s="46"/>
      <c r="G240" s="46"/>
      <c r="H240" s="46"/>
      <c r="I240" s="46"/>
    </row>
    <row r="241">
      <c r="A241" s="49"/>
      <c r="B241" s="46"/>
      <c r="C241" s="46"/>
      <c r="D241" s="46"/>
      <c r="E241" s="46"/>
      <c r="F241" s="46"/>
      <c r="G241" s="46"/>
      <c r="H241" s="46"/>
      <c r="I241" s="46"/>
    </row>
    <row r="242">
      <c r="A242" s="49"/>
      <c r="B242" s="46"/>
      <c r="C242" s="46"/>
      <c r="D242" s="46"/>
      <c r="E242" s="46"/>
      <c r="F242" s="46"/>
      <c r="G242" s="46"/>
      <c r="H242" s="46"/>
      <c r="I242" s="46"/>
    </row>
    <row r="243">
      <c r="A243" s="49"/>
      <c r="B243" s="46"/>
      <c r="C243" s="46"/>
      <c r="D243" s="46"/>
      <c r="E243" s="46"/>
      <c r="F243" s="46"/>
      <c r="G243" s="46"/>
      <c r="H243" s="46"/>
      <c r="I243" s="46"/>
    </row>
    <row r="244">
      <c r="A244" s="49"/>
      <c r="B244" s="46"/>
      <c r="C244" s="46"/>
      <c r="D244" s="46"/>
      <c r="E244" s="46"/>
      <c r="F244" s="46"/>
      <c r="G244" s="46"/>
      <c r="H244" s="46"/>
      <c r="I244" s="46"/>
    </row>
    <row r="245">
      <c r="A245" s="49"/>
      <c r="B245" s="46"/>
      <c r="C245" s="46"/>
      <c r="D245" s="46"/>
      <c r="E245" s="46"/>
      <c r="F245" s="46"/>
      <c r="G245" s="46"/>
      <c r="H245" s="46"/>
      <c r="I245" s="46"/>
    </row>
    <row r="246">
      <c r="A246" s="49"/>
      <c r="B246" s="46"/>
      <c r="C246" s="46"/>
      <c r="D246" s="46"/>
      <c r="E246" s="46"/>
      <c r="F246" s="46"/>
      <c r="G246" s="46"/>
      <c r="H246" s="46"/>
      <c r="I246" s="46"/>
    </row>
    <row r="247">
      <c r="A247" s="49"/>
      <c r="B247" s="46"/>
      <c r="C247" s="46"/>
      <c r="D247" s="46"/>
      <c r="E247" s="46"/>
      <c r="F247" s="46"/>
      <c r="G247" s="46"/>
      <c r="H247" s="46"/>
      <c r="I247" s="46"/>
    </row>
    <row r="248">
      <c r="A248" s="49"/>
      <c r="B248" s="46"/>
      <c r="C248" s="46"/>
      <c r="D248" s="46"/>
      <c r="E248" s="46"/>
      <c r="F248" s="46"/>
      <c r="G248" s="46"/>
      <c r="H248" s="46"/>
      <c r="I248" s="46"/>
    </row>
    <row r="249">
      <c r="A249" s="49"/>
      <c r="B249" s="46"/>
      <c r="C249" s="46"/>
      <c r="D249" s="46"/>
      <c r="E249" s="46"/>
      <c r="F249" s="46"/>
      <c r="G249" s="46"/>
      <c r="H249" s="46"/>
      <c r="I249" s="46"/>
    </row>
    <row r="250">
      <c r="A250" s="49"/>
      <c r="B250" s="46"/>
      <c r="C250" s="46"/>
      <c r="D250" s="46"/>
      <c r="E250" s="46"/>
      <c r="F250" s="46"/>
      <c r="G250" s="46"/>
      <c r="H250" s="46"/>
      <c r="I250" s="46"/>
    </row>
    <row r="251">
      <c r="A251" s="49"/>
      <c r="B251" s="46"/>
      <c r="C251" s="46"/>
      <c r="D251" s="46"/>
      <c r="E251" s="46"/>
      <c r="F251" s="46"/>
      <c r="G251" s="46"/>
      <c r="H251" s="46"/>
      <c r="I251" s="46"/>
    </row>
    <row r="252">
      <c r="A252" s="49"/>
      <c r="B252" s="46"/>
      <c r="C252" s="46"/>
      <c r="D252" s="46"/>
      <c r="E252" s="46"/>
      <c r="F252" s="46"/>
      <c r="G252" s="46"/>
      <c r="H252" s="46"/>
      <c r="I252" s="46"/>
    </row>
    <row r="253">
      <c r="A253" s="49"/>
      <c r="B253" s="46"/>
      <c r="C253" s="46"/>
      <c r="D253" s="46"/>
      <c r="E253" s="46"/>
      <c r="F253" s="46"/>
      <c r="G253" s="46"/>
      <c r="H253" s="46"/>
      <c r="I253" s="46"/>
    </row>
    <row r="254">
      <c r="A254" s="49"/>
      <c r="B254" s="46"/>
      <c r="C254" s="46"/>
      <c r="D254" s="46"/>
      <c r="E254" s="46"/>
      <c r="F254" s="46"/>
      <c r="G254" s="46"/>
      <c r="H254" s="46"/>
      <c r="I254" s="46"/>
    </row>
    <row r="255">
      <c r="A255" s="49"/>
      <c r="B255" s="46"/>
      <c r="C255" s="46"/>
      <c r="D255" s="46"/>
      <c r="E255" s="46"/>
      <c r="F255" s="46"/>
      <c r="G255" s="46"/>
      <c r="H255" s="46"/>
      <c r="I255" s="46"/>
    </row>
    <row r="256">
      <c r="A256" s="49"/>
      <c r="B256" s="46"/>
      <c r="C256" s="46"/>
      <c r="D256" s="46"/>
      <c r="E256" s="46"/>
      <c r="F256" s="46"/>
      <c r="G256" s="46"/>
      <c r="H256" s="46"/>
      <c r="I256" s="46"/>
    </row>
    <row r="257">
      <c r="A257" s="49"/>
      <c r="B257" s="46"/>
      <c r="C257" s="46"/>
      <c r="D257" s="46"/>
      <c r="E257" s="46"/>
      <c r="F257" s="46"/>
      <c r="G257" s="46"/>
      <c r="H257" s="46"/>
      <c r="I257" s="46"/>
    </row>
    <row r="258">
      <c r="A258" s="49"/>
      <c r="B258" s="46"/>
      <c r="C258" s="46"/>
      <c r="D258" s="46"/>
      <c r="E258" s="46"/>
      <c r="F258" s="46"/>
      <c r="G258" s="46"/>
      <c r="H258" s="46"/>
      <c r="I258" s="46"/>
    </row>
    <row r="259">
      <c r="A259" s="49"/>
      <c r="B259" s="46"/>
      <c r="C259" s="46"/>
      <c r="D259" s="46"/>
      <c r="E259" s="46"/>
      <c r="F259" s="46"/>
      <c r="G259" s="46"/>
      <c r="H259" s="46"/>
      <c r="I259" s="46"/>
    </row>
    <row r="260">
      <c r="A260" s="49"/>
      <c r="B260" s="46"/>
      <c r="C260" s="46"/>
      <c r="D260" s="46"/>
      <c r="E260" s="46"/>
      <c r="F260" s="46"/>
      <c r="G260" s="46"/>
      <c r="H260" s="46"/>
      <c r="I260" s="46"/>
    </row>
    <row r="261">
      <c r="A261" s="49"/>
      <c r="B261" s="46"/>
      <c r="C261" s="46"/>
      <c r="D261" s="46"/>
      <c r="E261" s="46"/>
      <c r="F261" s="46"/>
      <c r="G261" s="46"/>
      <c r="H261" s="46"/>
      <c r="I261" s="46"/>
    </row>
    <row r="262">
      <c r="A262" s="49"/>
      <c r="B262" s="46"/>
      <c r="C262" s="46"/>
      <c r="D262" s="46"/>
      <c r="E262" s="46"/>
      <c r="F262" s="46"/>
      <c r="G262" s="46"/>
      <c r="H262" s="46"/>
      <c r="I262" s="46"/>
    </row>
    <row r="263">
      <c r="A263" s="49"/>
      <c r="B263" s="46"/>
      <c r="C263" s="46"/>
      <c r="D263" s="46"/>
      <c r="E263" s="46"/>
      <c r="F263" s="46"/>
      <c r="G263" s="46"/>
      <c r="H263" s="46"/>
      <c r="I263" s="46"/>
    </row>
    <row r="264">
      <c r="A264" s="49"/>
      <c r="B264" s="46"/>
      <c r="C264" s="46"/>
      <c r="D264" s="46"/>
      <c r="E264" s="46"/>
      <c r="F264" s="46"/>
      <c r="G264" s="46"/>
      <c r="H264" s="46"/>
      <c r="I264" s="46"/>
    </row>
    <row r="265">
      <c r="A265" s="49"/>
      <c r="B265" s="46"/>
      <c r="C265" s="46"/>
      <c r="D265" s="46"/>
      <c r="E265" s="46"/>
      <c r="F265" s="46"/>
      <c r="G265" s="46"/>
      <c r="H265" s="46"/>
      <c r="I265" s="46"/>
    </row>
    <row r="266">
      <c r="A266" s="49"/>
      <c r="B266" s="46"/>
      <c r="C266" s="46"/>
      <c r="D266" s="46"/>
      <c r="E266" s="46"/>
      <c r="F266" s="46"/>
      <c r="G266" s="46"/>
      <c r="H266" s="46"/>
      <c r="I266" s="46"/>
    </row>
    <row r="267">
      <c r="A267" s="49"/>
      <c r="B267" s="46"/>
      <c r="C267" s="46"/>
      <c r="D267" s="46"/>
      <c r="E267" s="46"/>
      <c r="F267" s="46"/>
      <c r="G267" s="46"/>
      <c r="H267" s="46"/>
      <c r="I267" s="46"/>
    </row>
    <row r="268">
      <c r="A268" s="49"/>
      <c r="B268" s="46"/>
      <c r="C268" s="46"/>
      <c r="D268" s="46"/>
      <c r="E268" s="46"/>
      <c r="F268" s="46"/>
      <c r="G268" s="46"/>
      <c r="H268" s="46"/>
      <c r="I268" s="46"/>
    </row>
    <row r="269">
      <c r="A269" s="49"/>
      <c r="B269" s="46"/>
      <c r="C269" s="46"/>
      <c r="D269" s="46"/>
      <c r="E269" s="46"/>
      <c r="F269" s="46"/>
      <c r="G269" s="46"/>
      <c r="H269" s="46"/>
      <c r="I269" s="46"/>
    </row>
    <row r="270">
      <c r="A270" s="49"/>
      <c r="B270" s="46"/>
      <c r="C270" s="46"/>
      <c r="D270" s="46"/>
      <c r="E270" s="46"/>
      <c r="F270" s="46"/>
      <c r="G270" s="46"/>
      <c r="H270" s="46"/>
      <c r="I270" s="46"/>
    </row>
    <row r="271">
      <c r="A271" s="49"/>
      <c r="B271" s="46"/>
      <c r="C271" s="46"/>
      <c r="D271" s="46"/>
      <c r="E271" s="46"/>
      <c r="F271" s="46"/>
      <c r="G271" s="46"/>
      <c r="H271" s="46"/>
      <c r="I271" s="46"/>
    </row>
    <row r="272">
      <c r="A272" s="49"/>
      <c r="B272" s="46"/>
      <c r="C272" s="46"/>
      <c r="D272" s="46"/>
      <c r="E272" s="46"/>
      <c r="F272" s="46"/>
      <c r="G272" s="46"/>
      <c r="H272" s="46"/>
      <c r="I272" s="46"/>
    </row>
    <row r="273">
      <c r="A273" s="49"/>
      <c r="B273" s="46"/>
      <c r="C273" s="46"/>
      <c r="D273" s="46"/>
      <c r="E273" s="46"/>
      <c r="F273" s="46"/>
      <c r="G273" s="46"/>
      <c r="H273" s="46"/>
      <c r="I273" s="46"/>
    </row>
    <row r="274">
      <c r="A274" s="49"/>
      <c r="B274" s="46"/>
      <c r="C274" s="46"/>
      <c r="D274" s="46"/>
      <c r="E274" s="46"/>
      <c r="F274" s="46"/>
      <c r="G274" s="46"/>
      <c r="H274" s="46"/>
      <c r="I274" s="46"/>
    </row>
    <row r="275">
      <c r="A275" s="49"/>
      <c r="B275" s="46"/>
      <c r="C275" s="46"/>
      <c r="D275" s="46"/>
      <c r="E275" s="46"/>
      <c r="F275" s="46"/>
      <c r="G275" s="46"/>
      <c r="H275" s="46"/>
      <c r="I275" s="46"/>
    </row>
    <row r="276">
      <c r="A276" s="49"/>
      <c r="B276" s="46"/>
      <c r="C276" s="46"/>
      <c r="D276" s="46"/>
      <c r="E276" s="46"/>
      <c r="F276" s="46"/>
      <c r="G276" s="46"/>
      <c r="H276" s="46"/>
      <c r="I276" s="46"/>
    </row>
    <row r="277">
      <c r="A277" s="49"/>
      <c r="B277" s="46"/>
      <c r="C277" s="46"/>
      <c r="D277" s="46"/>
      <c r="E277" s="46"/>
      <c r="F277" s="46"/>
      <c r="G277" s="46"/>
      <c r="H277" s="46"/>
      <c r="I277" s="46"/>
    </row>
    <row r="278">
      <c r="A278" s="49"/>
      <c r="B278" s="46"/>
      <c r="C278" s="46"/>
      <c r="D278" s="46"/>
      <c r="E278" s="46"/>
      <c r="F278" s="46"/>
      <c r="G278" s="46"/>
      <c r="H278" s="46"/>
      <c r="I278" s="46"/>
    </row>
    <row r="279">
      <c r="A279" s="49"/>
      <c r="B279" s="46"/>
      <c r="C279" s="46"/>
      <c r="D279" s="46"/>
      <c r="E279" s="46"/>
      <c r="F279" s="46"/>
      <c r="G279" s="46"/>
      <c r="H279" s="46"/>
      <c r="I279" s="46"/>
    </row>
    <row r="280">
      <c r="A280" s="49"/>
      <c r="B280" s="46"/>
      <c r="C280" s="46"/>
      <c r="D280" s="46"/>
      <c r="E280" s="46"/>
      <c r="F280" s="46"/>
      <c r="G280" s="46"/>
      <c r="H280" s="46"/>
      <c r="I280" s="46"/>
    </row>
    <row r="281">
      <c r="A281" s="49"/>
      <c r="B281" s="46"/>
      <c r="C281" s="46"/>
      <c r="D281" s="46"/>
      <c r="E281" s="46"/>
      <c r="F281" s="46"/>
      <c r="G281" s="46"/>
      <c r="H281" s="46"/>
      <c r="I281" s="46"/>
    </row>
    <row r="282">
      <c r="A282" s="49"/>
      <c r="B282" s="46"/>
      <c r="C282" s="46"/>
      <c r="D282" s="46"/>
      <c r="E282" s="46"/>
      <c r="F282" s="46"/>
      <c r="G282" s="46"/>
      <c r="H282" s="46"/>
      <c r="I282" s="46"/>
    </row>
    <row r="283">
      <c r="A283" s="49"/>
      <c r="B283" s="46"/>
      <c r="C283" s="46"/>
      <c r="D283" s="46"/>
      <c r="E283" s="46"/>
      <c r="F283" s="46"/>
      <c r="G283" s="46"/>
      <c r="H283" s="46"/>
      <c r="I283" s="46"/>
    </row>
    <row r="284">
      <c r="A284" s="49"/>
      <c r="B284" s="46"/>
      <c r="C284" s="46"/>
      <c r="D284" s="46"/>
      <c r="E284" s="46"/>
      <c r="F284" s="46"/>
      <c r="G284" s="46"/>
      <c r="H284" s="46"/>
      <c r="I284" s="46"/>
    </row>
    <row r="285">
      <c r="A285" s="49"/>
      <c r="B285" s="46"/>
      <c r="C285" s="46"/>
      <c r="D285" s="46"/>
      <c r="E285" s="46"/>
      <c r="F285" s="46"/>
      <c r="G285" s="46"/>
      <c r="H285" s="46"/>
      <c r="I285" s="46"/>
    </row>
    <row r="286">
      <c r="A286" s="49"/>
      <c r="B286" s="46"/>
      <c r="C286" s="46"/>
      <c r="D286" s="46"/>
      <c r="E286" s="46"/>
      <c r="F286" s="46"/>
      <c r="G286" s="46"/>
      <c r="H286" s="46"/>
      <c r="I286" s="46"/>
    </row>
    <row r="287">
      <c r="A287" s="49"/>
      <c r="B287" s="46"/>
      <c r="C287" s="46"/>
      <c r="D287" s="46"/>
      <c r="E287" s="46"/>
      <c r="F287" s="46"/>
      <c r="G287" s="46"/>
      <c r="H287" s="46"/>
      <c r="I287" s="46"/>
    </row>
    <row r="288">
      <c r="A288" s="49"/>
      <c r="B288" s="46"/>
      <c r="C288" s="46"/>
      <c r="D288" s="46"/>
      <c r="E288" s="46"/>
      <c r="F288" s="46"/>
      <c r="G288" s="46"/>
      <c r="H288" s="46"/>
      <c r="I288" s="46"/>
    </row>
    <row r="289">
      <c r="A289" s="49"/>
      <c r="B289" s="46"/>
      <c r="C289" s="46"/>
      <c r="D289" s="46"/>
      <c r="E289" s="46"/>
      <c r="F289" s="46"/>
      <c r="G289" s="46"/>
      <c r="H289" s="46"/>
      <c r="I289" s="46"/>
    </row>
    <row r="290">
      <c r="A290" s="49"/>
      <c r="B290" s="46"/>
      <c r="C290" s="46"/>
      <c r="D290" s="46"/>
      <c r="E290" s="46"/>
      <c r="F290" s="46"/>
      <c r="G290" s="46"/>
      <c r="H290" s="46"/>
      <c r="I290" s="46"/>
    </row>
    <row r="291">
      <c r="A291" s="49"/>
      <c r="B291" s="46"/>
      <c r="C291" s="46"/>
      <c r="D291" s="46"/>
      <c r="E291" s="46"/>
      <c r="F291" s="46"/>
      <c r="G291" s="46"/>
      <c r="H291" s="46"/>
      <c r="I291" s="46"/>
    </row>
    <row r="292">
      <c r="A292" s="49"/>
      <c r="B292" s="46"/>
      <c r="C292" s="46"/>
      <c r="D292" s="46"/>
      <c r="E292" s="46"/>
      <c r="F292" s="46"/>
      <c r="G292" s="46"/>
      <c r="H292" s="46"/>
      <c r="I292" s="46"/>
    </row>
    <row r="293">
      <c r="A293" s="49"/>
      <c r="B293" s="46"/>
      <c r="C293" s="46"/>
      <c r="D293" s="46"/>
      <c r="E293" s="46"/>
      <c r="F293" s="46"/>
      <c r="G293" s="46"/>
      <c r="H293" s="46"/>
      <c r="I293" s="46"/>
    </row>
    <row r="294">
      <c r="A294" s="49"/>
      <c r="B294" s="46"/>
      <c r="C294" s="46"/>
      <c r="D294" s="46"/>
      <c r="E294" s="46"/>
      <c r="F294" s="46"/>
      <c r="G294" s="46"/>
      <c r="H294" s="46"/>
      <c r="I294" s="46"/>
    </row>
    <row r="295">
      <c r="A295" s="49"/>
      <c r="B295" s="46"/>
      <c r="C295" s="46"/>
      <c r="D295" s="46"/>
      <c r="E295" s="46"/>
      <c r="F295" s="46"/>
      <c r="G295" s="46"/>
      <c r="H295" s="46"/>
      <c r="I295" s="46"/>
    </row>
    <row r="296">
      <c r="A296" s="49"/>
      <c r="B296" s="46"/>
      <c r="C296" s="46"/>
      <c r="D296" s="46"/>
      <c r="E296" s="46"/>
      <c r="F296" s="46"/>
      <c r="G296" s="46"/>
      <c r="H296" s="46"/>
      <c r="I296" s="46"/>
    </row>
    <row r="297">
      <c r="A297" s="49"/>
      <c r="B297" s="46"/>
      <c r="C297" s="46"/>
      <c r="D297" s="46"/>
      <c r="E297" s="46"/>
      <c r="F297" s="46"/>
      <c r="G297" s="46"/>
      <c r="H297" s="46"/>
      <c r="I297" s="46"/>
    </row>
    <row r="298">
      <c r="A298" s="49"/>
      <c r="B298" s="46"/>
      <c r="C298" s="46"/>
      <c r="D298" s="46"/>
      <c r="E298" s="46"/>
      <c r="F298" s="46"/>
      <c r="G298" s="46"/>
      <c r="H298" s="46"/>
      <c r="I298" s="46"/>
    </row>
    <row r="299">
      <c r="A299" s="49"/>
      <c r="B299" s="46"/>
      <c r="C299" s="46"/>
      <c r="D299" s="46"/>
      <c r="E299" s="46"/>
      <c r="F299" s="46"/>
      <c r="G299" s="46"/>
      <c r="H299" s="46"/>
      <c r="I299" s="46"/>
    </row>
    <row r="300">
      <c r="A300" s="49"/>
      <c r="B300" s="46"/>
      <c r="C300" s="46"/>
      <c r="D300" s="46"/>
      <c r="E300" s="46"/>
      <c r="F300" s="46"/>
      <c r="G300" s="46"/>
      <c r="H300" s="46"/>
      <c r="I300" s="46"/>
    </row>
    <row r="301">
      <c r="A301" s="49"/>
      <c r="B301" s="46"/>
      <c r="C301" s="46"/>
      <c r="D301" s="46"/>
      <c r="E301" s="46"/>
      <c r="F301" s="46"/>
      <c r="G301" s="46"/>
      <c r="H301" s="46"/>
      <c r="I301" s="46"/>
    </row>
    <row r="302">
      <c r="A302" s="49"/>
      <c r="B302" s="46"/>
      <c r="C302" s="46"/>
      <c r="D302" s="46"/>
      <c r="E302" s="46"/>
      <c r="F302" s="46"/>
      <c r="G302" s="46"/>
      <c r="H302" s="46"/>
      <c r="I302" s="46"/>
    </row>
    <row r="303">
      <c r="A303" s="49"/>
      <c r="B303" s="46"/>
      <c r="C303" s="46"/>
      <c r="D303" s="46"/>
      <c r="E303" s="46"/>
      <c r="F303" s="46"/>
      <c r="G303" s="46"/>
      <c r="H303" s="46"/>
      <c r="I303" s="46"/>
    </row>
    <row r="304">
      <c r="A304" s="49"/>
      <c r="B304" s="46"/>
      <c r="C304" s="46"/>
      <c r="D304" s="46"/>
      <c r="E304" s="46"/>
      <c r="F304" s="46"/>
      <c r="G304" s="46"/>
      <c r="H304" s="46"/>
      <c r="I304" s="46"/>
    </row>
    <row r="305">
      <c r="A305" s="49"/>
      <c r="B305" s="46"/>
      <c r="C305" s="46"/>
      <c r="D305" s="46"/>
      <c r="E305" s="46"/>
      <c r="F305" s="46"/>
      <c r="G305" s="46"/>
      <c r="H305" s="46"/>
      <c r="I305" s="46"/>
    </row>
    <row r="306">
      <c r="A306" s="49"/>
      <c r="B306" s="46"/>
      <c r="C306" s="46"/>
      <c r="D306" s="46"/>
      <c r="E306" s="46"/>
      <c r="F306" s="46"/>
      <c r="G306" s="46"/>
      <c r="H306" s="46"/>
      <c r="I306" s="46"/>
    </row>
    <row r="307">
      <c r="A307" s="49"/>
      <c r="B307" s="46"/>
      <c r="C307" s="46"/>
      <c r="D307" s="46"/>
      <c r="E307" s="46"/>
      <c r="F307" s="46"/>
      <c r="G307" s="46"/>
      <c r="H307" s="46"/>
      <c r="I307" s="46"/>
    </row>
    <row r="308">
      <c r="A308" s="49"/>
      <c r="B308" s="46"/>
      <c r="C308" s="46"/>
      <c r="D308" s="46"/>
      <c r="E308" s="46"/>
      <c r="F308" s="46"/>
      <c r="G308" s="46"/>
      <c r="H308" s="46"/>
      <c r="I308" s="46"/>
    </row>
    <row r="309">
      <c r="A309" s="49"/>
      <c r="B309" s="46"/>
      <c r="C309" s="46"/>
      <c r="D309" s="46"/>
      <c r="E309" s="46"/>
      <c r="F309" s="46"/>
      <c r="G309" s="46"/>
      <c r="H309" s="46"/>
      <c r="I309" s="46"/>
    </row>
    <row r="310">
      <c r="A310" s="49"/>
      <c r="B310" s="46"/>
      <c r="C310" s="46"/>
      <c r="D310" s="46"/>
      <c r="E310" s="46"/>
      <c r="F310" s="46"/>
      <c r="G310" s="46"/>
      <c r="H310" s="46"/>
      <c r="I310" s="46"/>
    </row>
    <row r="311">
      <c r="A311" s="49"/>
      <c r="B311" s="46"/>
      <c r="C311" s="46"/>
      <c r="D311" s="46"/>
      <c r="E311" s="46"/>
      <c r="F311" s="46"/>
      <c r="G311" s="46"/>
      <c r="H311" s="46"/>
      <c r="I311" s="46"/>
    </row>
    <row r="312">
      <c r="A312" s="49"/>
      <c r="B312" s="46"/>
      <c r="C312" s="46"/>
      <c r="D312" s="46"/>
      <c r="E312" s="46"/>
      <c r="F312" s="46"/>
      <c r="G312" s="46"/>
      <c r="H312" s="46"/>
      <c r="I312" s="46"/>
    </row>
    <row r="313">
      <c r="A313" s="49"/>
      <c r="B313" s="46"/>
      <c r="C313" s="46"/>
      <c r="D313" s="46"/>
      <c r="E313" s="46"/>
      <c r="F313" s="46"/>
      <c r="G313" s="46"/>
      <c r="H313" s="46"/>
      <c r="I313" s="46"/>
    </row>
    <row r="314">
      <c r="A314" s="49"/>
      <c r="B314" s="46"/>
      <c r="C314" s="46"/>
      <c r="D314" s="46"/>
      <c r="E314" s="46"/>
      <c r="F314" s="46"/>
      <c r="G314" s="46"/>
      <c r="H314" s="46"/>
      <c r="I314" s="46"/>
    </row>
    <row r="315">
      <c r="A315" s="49"/>
      <c r="B315" s="46"/>
      <c r="C315" s="46"/>
      <c r="D315" s="46"/>
      <c r="E315" s="46"/>
      <c r="F315" s="46"/>
      <c r="G315" s="46"/>
      <c r="H315" s="46"/>
      <c r="I315" s="46"/>
    </row>
    <row r="316">
      <c r="A316" s="49"/>
      <c r="B316" s="46"/>
      <c r="C316" s="46"/>
      <c r="D316" s="46"/>
      <c r="E316" s="46"/>
      <c r="F316" s="46"/>
      <c r="G316" s="46"/>
      <c r="H316" s="46"/>
      <c r="I316" s="46"/>
    </row>
    <row r="317">
      <c r="A317" s="49"/>
      <c r="B317" s="46"/>
      <c r="C317" s="46"/>
      <c r="D317" s="46"/>
      <c r="E317" s="46"/>
      <c r="F317" s="46"/>
      <c r="G317" s="46"/>
      <c r="H317" s="46"/>
      <c r="I317" s="46"/>
    </row>
    <row r="318">
      <c r="A318" s="49"/>
      <c r="B318" s="46"/>
      <c r="C318" s="46"/>
      <c r="D318" s="46"/>
      <c r="E318" s="46"/>
      <c r="F318" s="46"/>
      <c r="G318" s="46"/>
      <c r="H318" s="46"/>
      <c r="I318" s="46"/>
    </row>
    <row r="319">
      <c r="A319" s="49"/>
      <c r="B319" s="46"/>
      <c r="C319" s="46"/>
      <c r="D319" s="46"/>
      <c r="E319" s="46"/>
      <c r="F319" s="46"/>
      <c r="G319" s="46"/>
      <c r="H319" s="46"/>
      <c r="I319" s="46"/>
    </row>
    <row r="320">
      <c r="A320" s="49"/>
      <c r="B320" s="46"/>
      <c r="C320" s="46"/>
      <c r="D320" s="46"/>
      <c r="E320" s="46"/>
      <c r="F320" s="46"/>
      <c r="G320" s="46"/>
      <c r="H320" s="46"/>
      <c r="I320" s="46"/>
    </row>
    <row r="321">
      <c r="A321" s="49"/>
      <c r="B321" s="46"/>
      <c r="C321" s="46"/>
      <c r="D321" s="46"/>
      <c r="E321" s="46"/>
      <c r="F321" s="46"/>
      <c r="G321" s="46"/>
      <c r="H321" s="46"/>
      <c r="I321" s="46"/>
    </row>
    <row r="322">
      <c r="A322" s="49"/>
      <c r="B322" s="46"/>
      <c r="C322" s="46"/>
      <c r="D322" s="46"/>
      <c r="E322" s="46"/>
      <c r="F322" s="46"/>
      <c r="G322" s="46"/>
      <c r="H322" s="46"/>
      <c r="I322" s="46"/>
    </row>
    <row r="323">
      <c r="A323" s="49"/>
      <c r="B323" s="46"/>
      <c r="C323" s="46"/>
      <c r="D323" s="46"/>
      <c r="E323" s="46"/>
      <c r="F323" s="46"/>
      <c r="G323" s="46"/>
      <c r="H323" s="46"/>
      <c r="I323" s="46"/>
    </row>
    <row r="324">
      <c r="A324" s="49"/>
      <c r="B324" s="46"/>
      <c r="C324" s="46"/>
      <c r="D324" s="46"/>
      <c r="E324" s="46"/>
      <c r="F324" s="46"/>
      <c r="G324" s="46"/>
      <c r="H324" s="46"/>
      <c r="I324" s="46"/>
    </row>
    <row r="325">
      <c r="A325" s="49"/>
      <c r="B325" s="46"/>
      <c r="C325" s="46"/>
      <c r="D325" s="46"/>
      <c r="E325" s="46"/>
      <c r="F325" s="46"/>
      <c r="G325" s="46"/>
      <c r="H325" s="46"/>
      <c r="I325" s="46"/>
    </row>
    <row r="326">
      <c r="A326" s="49"/>
      <c r="B326" s="46"/>
      <c r="C326" s="46"/>
      <c r="D326" s="46"/>
      <c r="E326" s="46"/>
      <c r="F326" s="46"/>
      <c r="G326" s="46"/>
      <c r="H326" s="46"/>
      <c r="I326" s="46"/>
    </row>
    <row r="327">
      <c r="A327" s="49"/>
      <c r="B327" s="46"/>
      <c r="C327" s="46"/>
      <c r="D327" s="46"/>
      <c r="E327" s="46"/>
      <c r="F327" s="46"/>
      <c r="G327" s="46"/>
      <c r="H327" s="46"/>
      <c r="I327" s="46"/>
    </row>
    <row r="328">
      <c r="A328" s="49"/>
      <c r="B328" s="46"/>
      <c r="C328" s="46"/>
      <c r="D328" s="46"/>
      <c r="E328" s="46"/>
      <c r="F328" s="46"/>
      <c r="G328" s="46"/>
      <c r="H328" s="46"/>
      <c r="I328" s="46"/>
    </row>
    <row r="329">
      <c r="A329" s="49"/>
      <c r="B329" s="46"/>
      <c r="C329" s="46"/>
      <c r="D329" s="46"/>
      <c r="E329" s="46"/>
      <c r="F329" s="46"/>
      <c r="G329" s="46"/>
      <c r="H329" s="46"/>
      <c r="I329" s="46"/>
    </row>
    <row r="330">
      <c r="A330" s="49"/>
      <c r="B330" s="46"/>
      <c r="C330" s="46"/>
      <c r="D330" s="46"/>
      <c r="E330" s="46"/>
      <c r="F330" s="46"/>
      <c r="G330" s="46"/>
      <c r="H330" s="46"/>
      <c r="I330" s="46"/>
    </row>
    <row r="331">
      <c r="A331" s="49"/>
      <c r="B331" s="46"/>
      <c r="C331" s="46"/>
      <c r="D331" s="46"/>
      <c r="E331" s="46"/>
      <c r="F331" s="46"/>
      <c r="G331" s="46"/>
      <c r="H331" s="46"/>
      <c r="I331" s="46"/>
    </row>
    <row r="332">
      <c r="A332" s="49"/>
      <c r="B332" s="46"/>
      <c r="C332" s="46"/>
      <c r="D332" s="46"/>
      <c r="E332" s="46"/>
      <c r="F332" s="46"/>
      <c r="G332" s="46"/>
      <c r="H332" s="46"/>
      <c r="I332" s="46"/>
    </row>
    <row r="333">
      <c r="A333" s="49"/>
      <c r="B333" s="46"/>
      <c r="C333" s="46"/>
      <c r="D333" s="46"/>
      <c r="E333" s="46"/>
      <c r="F333" s="46"/>
      <c r="G333" s="46"/>
      <c r="H333" s="46"/>
      <c r="I333" s="46"/>
    </row>
    <row r="334">
      <c r="A334" s="49"/>
      <c r="B334" s="46"/>
      <c r="C334" s="46"/>
      <c r="D334" s="46"/>
      <c r="E334" s="46"/>
      <c r="F334" s="46"/>
      <c r="G334" s="46"/>
      <c r="H334" s="46"/>
      <c r="I334" s="46"/>
    </row>
    <row r="335">
      <c r="A335" s="49"/>
      <c r="B335" s="46"/>
      <c r="C335" s="46"/>
      <c r="D335" s="46"/>
      <c r="E335" s="46"/>
      <c r="F335" s="46"/>
      <c r="G335" s="46"/>
      <c r="H335" s="46"/>
      <c r="I335" s="46"/>
    </row>
    <row r="336">
      <c r="A336" s="49"/>
      <c r="B336" s="46"/>
      <c r="C336" s="46"/>
      <c r="D336" s="46"/>
      <c r="E336" s="46"/>
      <c r="F336" s="46"/>
      <c r="G336" s="46"/>
      <c r="H336" s="46"/>
      <c r="I336" s="46"/>
    </row>
    <row r="337">
      <c r="A337" s="49"/>
      <c r="B337" s="46"/>
      <c r="C337" s="46"/>
      <c r="D337" s="46"/>
      <c r="E337" s="46"/>
      <c r="F337" s="46"/>
      <c r="G337" s="46"/>
      <c r="H337" s="46"/>
      <c r="I337" s="46"/>
    </row>
    <row r="338">
      <c r="A338" s="49"/>
      <c r="B338" s="46"/>
      <c r="C338" s="46"/>
      <c r="D338" s="46"/>
      <c r="E338" s="46"/>
      <c r="F338" s="46"/>
      <c r="G338" s="46"/>
      <c r="H338" s="46"/>
      <c r="I338" s="46"/>
    </row>
    <row r="339">
      <c r="A339" s="49"/>
      <c r="B339" s="46"/>
      <c r="C339" s="46"/>
      <c r="D339" s="46"/>
      <c r="E339" s="46"/>
      <c r="F339" s="46"/>
      <c r="G339" s="46"/>
      <c r="H339" s="46"/>
      <c r="I339" s="46"/>
    </row>
    <row r="340">
      <c r="A340" s="49"/>
      <c r="B340" s="46"/>
      <c r="C340" s="46"/>
      <c r="D340" s="46"/>
      <c r="E340" s="46"/>
      <c r="F340" s="46"/>
      <c r="G340" s="46"/>
      <c r="H340" s="46"/>
      <c r="I340" s="46"/>
    </row>
    <row r="341">
      <c r="A341" s="49"/>
      <c r="B341" s="46"/>
      <c r="C341" s="46"/>
      <c r="D341" s="46"/>
      <c r="E341" s="46"/>
      <c r="F341" s="46"/>
      <c r="G341" s="46"/>
      <c r="H341" s="46"/>
      <c r="I341" s="46"/>
    </row>
    <row r="342">
      <c r="A342" s="49"/>
      <c r="B342" s="46"/>
      <c r="C342" s="46"/>
      <c r="D342" s="46"/>
      <c r="E342" s="46"/>
      <c r="F342" s="46"/>
      <c r="G342" s="46"/>
      <c r="H342" s="46"/>
      <c r="I342" s="46"/>
    </row>
    <row r="343">
      <c r="A343" s="49"/>
      <c r="B343" s="46"/>
      <c r="C343" s="46"/>
      <c r="D343" s="46"/>
      <c r="E343" s="46"/>
      <c r="F343" s="46"/>
      <c r="G343" s="46"/>
      <c r="H343" s="46"/>
      <c r="I343" s="46"/>
    </row>
    <row r="344">
      <c r="A344" s="49"/>
      <c r="B344" s="46"/>
      <c r="C344" s="46"/>
      <c r="D344" s="46"/>
      <c r="E344" s="46"/>
      <c r="F344" s="46"/>
      <c r="G344" s="46"/>
      <c r="H344" s="46"/>
      <c r="I344" s="46"/>
    </row>
    <row r="345">
      <c r="A345" s="49"/>
      <c r="B345" s="46"/>
      <c r="C345" s="46"/>
      <c r="D345" s="46"/>
      <c r="E345" s="46"/>
      <c r="F345" s="46"/>
      <c r="G345" s="46"/>
      <c r="H345" s="46"/>
      <c r="I345" s="46"/>
    </row>
    <row r="346">
      <c r="A346" s="49"/>
      <c r="B346" s="46"/>
      <c r="C346" s="46"/>
      <c r="D346" s="46"/>
      <c r="E346" s="46"/>
      <c r="F346" s="46"/>
      <c r="G346" s="46"/>
      <c r="H346" s="46"/>
      <c r="I346" s="46"/>
    </row>
    <row r="347">
      <c r="A347" s="49"/>
      <c r="B347" s="46"/>
      <c r="C347" s="46"/>
      <c r="D347" s="46"/>
      <c r="E347" s="46"/>
      <c r="F347" s="46"/>
      <c r="G347" s="46"/>
      <c r="H347" s="46"/>
      <c r="I347" s="46"/>
    </row>
    <row r="348">
      <c r="A348" s="49"/>
      <c r="B348" s="46"/>
      <c r="C348" s="46"/>
      <c r="D348" s="46"/>
      <c r="E348" s="46"/>
      <c r="F348" s="46"/>
      <c r="G348" s="46"/>
      <c r="H348" s="46"/>
      <c r="I348" s="46"/>
    </row>
    <row r="349">
      <c r="A349" s="49"/>
      <c r="B349" s="46"/>
      <c r="C349" s="46"/>
      <c r="D349" s="46"/>
      <c r="E349" s="46"/>
      <c r="F349" s="46"/>
      <c r="G349" s="46"/>
      <c r="H349" s="46"/>
      <c r="I349" s="46"/>
    </row>
    <row r="350">
      <c r="A350" s="49"/>
      <c r="B350" s="46"/>
      <c r="C350" s="46"/>
      <c r="D350" s="46"/>
      <c r="E350" s="46"/>
      <c r="F350" s="46"/>
      <c r="G350" s="46"/>
      <c r="H350" s="46"/>
      <c r="I350" s="46"/>
    </row>
    <row r="351">
      <c r="A351" s="49"/>
      <c r="B351" s="46"/>
      <c r="C351" s="46"/>
      <c r="D351" s="46"/>
      <c r="E351" s="46"/>
      <c r="F351" s="46"/>
      <c r="G351" s="46"/>
      <c r="H351" s="46"/>
      <c r="I351" s="46"/>
    </row>
    <row r="352">
      <c r="A352" s="49"/>
      <c r="B352" s="46"/>
      <c r="C352" s="46"/>
      <c r="D352" s="46"/>
      <c r="E352" s="46"/>
      <c r="F352" s="46"/>
      <c r="G352" s="46"/>
      <c r="H352" s="46"/>
      <c r="I352" s="46"/>
    </row>
    <row r="353">
      <c r="A353" s="49"/>
      <c r="B353" s="46"/>
      <c r="C353" s="46"/>
      <c r="D353" s="46"/>
      <c r="E353" s="46"/>
      <c r="F353" s="46"/>
      <c r="G353" s="46"/>
      <c r="H353" s="46"/>
      <c r="I353" s="46"/>
    </row>
    <row r="354">
      <c r="A354" s="49"/>
      <c r="B354" s="46"/>
      <c r="C354" s="46"/>
      <c r="D354" s="46"/>
      <c r="E354" s="46"/>
      <c r="F354" s="46"/>
      <c r="G354" s="46"/>
      <c r="H354" s="46"/>
      <c r="I354" s="46"/>
    </row>
    <row r="355">
      <c r="A355" s="49"/>
      <c r="B355" s="46"/>
      <c r="C355" s="46"/>
      <c r="D355" s="46"/>
      <c r="E355" s="46"/>
      <c r="F355" s="46"/>
      <c r="G355" s="46"/>
      <c r="H355" s="46"/>
      <c r="I355" s="46"/>
    </row>
    <row r="356">
      <c r="A356" s="49"/>
      <c r="B356" s="46"/>
      <c r="C356" s="46"/>
      <c r="D356" s="46"/>
      <c r="E356" s="46"/>
      <c r="F356" s="46"/>
      <c r="G356" s="46"/>
      <c r="H356" s="46"/>
      <c r="I356" s="46"/>
    </row>
    <row r="357">
      <c r="A357" s="49"/>
      <c r="B357" s="46"/>
      <c r="C357" s="46"/>
      <c r="D357" s="46"/>
      <c r="E357" s="46"/>
      <c r="F357" s="46"/>
      <c r="G357" s="46"/>
      <c r="H357" s="46"/>
      <c r="I357" s="46"/>
    </row>
    <row r="358">
      <c r="A358" s="49"/>
      <c r="B358" s="46"/>
      <c r="C358" s="46"/>
      <c r="D358" s="46"/>
      <c r="E358" s="46"/>
      <c r="F358" s="46"/>
      <c r="G358" s="46"/>
      <c r="H358" s="46"/>
      <c r="I358" s="46"/>
    </row>
    <row r="359">
      <c r="A359" s="49"/>
      <c r="B359" s="46"/>
      <c r="C359" s="46"/>
      <c r="D359" s="46"/>
      <c r="E359" s="46"/>
      <c r="F359" s="46"/>
      <c r="G359" s="46"/>
      <c r="H359" s="46"/>
      <c r="I359" s="46"/>
    </row>
    <row r="360">
      <c r="A360" s="49"/>
      <c r="B360" s="46"/>
      <c r="C360" s="46"/>
      <c r="D360" s="46"/>
      <c r="E360" s="46"/>
      <c r="F360" s="46"/>
      <c r="G360" s="46"/>
      <c r="H360" s="46"/>
      <c r="I360" s="46"/>
    </row>
    <row r="361">
      <c r="A361" s="49"/>
      <c r="B361" s="46"/>
      <c r="C361" s="46"/>
      <c r="D361" s="46"/>
      <c r="E361" s="46"/>
      <c r="F361" s="46"/>
      <c r="G361" s="46"/>
      <c r="H361" s="46"/>
      <c r="I361" s="46"/>
    </row>
    <row r="362">
      <c r="A362" s="49"/>
      <c r="B362" s="46"/>
      <c r="C362" s="46"/>
      <c r="D362" s="46"/>
      <c r="E362" s="46"/>
      <c r="F362" s="46"/>
      <c r="G362" s="46"/>
      <c r="H362" s="46"/>
      <c r="I362" s="46"/>
    </row>
    <row r="363">
      <c r="A363" s="49"/>
      <c r="B363" s="46"/>
      <c r="C363" s="46"/>
      <c r="D363" s="46"/>
      <c r="E363" s="46"/>
      <c r="F363" s="46"/>
      <c r="G363" s="46"/>
      <c r="H363" s="46"/>
      <c r="I363" s="46"/>
    </row>
    <row r="364">
      <c r="A364" s="49"/>
      <c r="B364" s="46"/>
      <c r="C364" s="46"/>
      <c r="D364" s="46"/>
      <c r="E364" s="46"/>
      <c r="F364" s="46"/>
      <c r="G364" s="46"/>
      <c r="H364" s="46"/>
      <c r="I364" s="46"/>
    </row>
    <row r="365">
      <c r="A365" s="49"/>
      <c r="B365" s="46"/>
      <c r="C365" s="46"/>
      <c r="D365" s="46"/>
      <c r="E365" s="46"/>
      <c r="F365" s="46"/>
      <c r="G365" s="46"/>
      <c r="H365" s="46"/>
      <c r="I365" s="46"/>
    </row>
    <row r="366">
      <c r="A366" s="49"/>
      <c r="B366" s="46"/>
      <c r="C366" s="46"/>
      <c r="D366" s="46"/>
      <c r="E366" s="46"/>
      <c r="F366" s="46"/>
      <c r="G366" s="46"/>
      <c r="H366" s="46"/>
      <c r="I366" s="46"/>
    </row>
    <row r="367">
      <c r="A367" s="49"/>
      <c r="B367" s="46"/>
      <c r="C367" s="46"/>
      <c r="D367" s="46"/>
      <c r="E367" s="46"/>
      <c r="F367" s="46"/>
      <c r="G367" s="46"/>
      <c r="H367" s="46"/>
      <c r="I367" s="46"/>
    </row>
    <row r="368">
      <c r="A368" s="49"/>
      <c r="B368" s="46"/>
      <c r="C368" s="46"/>
      <c r="D368" s="46"/>
      <c r="E368" s="46"/>
      <c r="F368" s="46"/>
      <c r="G368" s="46"/>
      <c r="H368" s="46"/>
      <c r="I368" s="46"/>
    </row>
    <row r="369">
      <c r="A369" s="49"/>
      <c r="B369" s="46"/>
      <c r="C369" s="46"/>
      <c r="D369" s="46"/>
      <c r="E369" s="46"/>
      <c r="F369" s="46"/>
      <c r="G369" s="46"/>
      <c r="H369" s="46"/>
      <c r="I369" s="46"/>
    </row>
    <row r="370">
      <c r="A370" s="49"/>
      <c r="B370" s="46"/>
      <c r="C370" s="46"/>
      <c r="D370" s="46"/>
      <c r="E370" s="46"/>
      <c r="F370" s="46"/>
      <c r="G370" s="46"/>
      <c r="H370" s="46"/>
      <c r="I370" s="46"/>
    </row>
    <row r="371">
      <c r="A371" s="49"/>
      <c r="B371" s="46"/>
      <c r="C371" s="46"/>
      <c r="D371" s="46"/>
      <c r="E371" s="46"/>
      <c r="F371" s="46"/>
      <c r="G371" s="46"/>
      <c r="H371" s="46"/>
      <c r="I371" s="46"/>
    </row>
    <row r="372">
      <c r="A372" s="49"/>
      <c r="B372" s="46"/>
      <c r="C372" s="46"/>
      <c r="D372" s="46"/>
      <c r="E372" s="46"/>
      <c r="F372" s="46"/>
      <c r="G372" s="46"/>
      <c r="H372" s="46"/>
      <c r="I372" s="46"/>
    </row>
    <row r="373">
      <c r="A373" s="49"/>
      <c r="B373" s="46"/>
      <c r="C373" s="46"/>
      <c r="D373" s="46"/>
      <c r="E373" s="46"/>
      <c r="F373" s="46"/>
      <c r="G373" s="46"/>
      <c r="H373" s="46"/>
      <c r="I373" s="46"/>
    </row>
    <row r="374">
      <c r="A374" s="49"/>
      <c r="B374" s="46"/>
      <c r="C374" s="46"/>
      <c r="D374" s="46"/>
      <c r="E374" s="46"/>
      <c r="F374" s="46"/>
      <c r="G374" s="46"/>
      <c r="H374" s="46"/>
      <c r="I374" s="46"/>
    </row>
    <row r="375">
      <c r="A375" s="49"/>
      <c r="B375" s="46"/>
      <c r="C375" s="46"/>
      <c r="D375" s="46"/>
      <c r="E375" s="46"/>
      <c r="F375" s="46"/>
      <c r="G375" s="46"/>
      <c r="H375" s="46"/>
      <c r="I375" s="46"/>
    </row>
    <row r="376">
      <c r="A376" s="49"/>
      <c r="B376" s="46"/>
      <c r="C376" s="46"/>
      <c r="D376" s="46"/>
      <c r="E376" s="46"/>
      <c r="F376" s="46"/>
      <c r="G376" s="46"/>
      <c r="H376" s="46"/>
      <c r="I376" s="46"/>
    </row>
    <row r="377">
      <c r="A377" s="49"/>
      <c r="B377" s="46"/>
      <c r="C377" s="46"/>
      <c r="D377" s="46"/>
      <c r="E377" s="46"/>
      <c r="F377" s="46"/>
      <c r="G377" s="46"/>
      <c r="H377" s="46"/>
      <c r="I377" s="46"/>
    </row>
    <row r="378">
      <c r="A378" s="49"/>
      <c r="B378" s="46"/>
      <c r="C378" s="46"/>
      <c r="D378" s="46"/>
      <c r="E378" s="46"/>
      <c r="F378" s="46"/>
      <c r="G378" s="46"/>
      <c r="H378" s="46"/>
      <c r="I378" s="46"/>
    </row>
    <row r="379">
      <c r="A379" s="49"/>
      <c r="B379" s="46"/>
      <c r="C379" s="46"/>
      <c r="D379" s="46"/>
      <c r="E379" s="46"/>
      <c r="F379" s="46"/>
      <c r="G379" s="46"/>
      <c r="H379" s="46"/>
      <c r="I379" s="46"/>
    </row>
    <row r="380">
      <c r="A380" s="49"/>
      <c r="B380" s="46"/>
      <c r="C380" s="46"/>
      <c r="D380" s="46"/>
      <c r="E380" s="46"/>
      <c r="F380" s="46"/>
      <c r="G380" s="46"/>
      <c r="H380" s="46"/>
      <c r="I380" s="46"/>
    </row>
    <row r="381">
      <c r="A381" s="49"/>
      <c r="B381" s="46"/>
      <c r="C381" s="46"/>
      <c r="D381" s="46"/>
      <c r="E381" s="46"/>
      <c r="F381" s="46"/>
      <c r="G381" s="46"/>
      <c r="H381" s="46"/>
      <c r="I381" s="46"/>
    </row>
    <row r="382">
      <c r="A382" s="49"/>
      <c r="B382" s="46"/>
      <c r="C382" s="46"/>
      <c r="D382" s="46"/>
      <c r="E382" s="46"/>
      <c r="F382" s="46"/>
      <c r="G382" s="46"/>
      <c r="H382" s="46"/>
      <c r="I382" s="46"/>
    </row>
    <row r="383">
      <c r="A383" s="49"/>
      <c r="B383" s="46"/>
      <c r="C383" s="46"/>
      <c r="D383" s="46"/>
      <c r="E383" s="46"/>
      <c r="F383" s="46"/>
      <c r="G383" s="46"/>
      <c r="H383" s="46"/>
      <c r="I383" s="46"/>
    </row>
    <row r="384">
      <c r="A384" s="49"/>
      <c r="B384" s="46"/>
      <c r="C384" s="46"/>
      <c r="D384" s="46"/>
      <c r="E384" s="46"/>
      <c r="F384" s="46"/>
      <c r="G384" s="46"/>
      <c r="H384" s="46"/>
      <c r="I384" s="46"/>
    </row>
    <row r="385">
      <c r="A385" s="49"/>
      <c r="B385" s="46"/>
      <c r="C385" s="46"/>
      <c r="D385" s="46"/>
      <c r="E385" s="46"/>
      <c r="F385" s="46"/>
      <c r="G385" s="46"/>
      <c r="H385" s="46"/>
      <c r="I385" s="46"/>
    </row>
    <row r="386">
      <c r="A386" s="49"/>
      <c r="B386" s="46"/>
      <c r="C386" s="46"/>
      <c r="D386" s="46"/>
      <c r="E386" s="46"/>
      <c r="F386" s="46"/>
      <c r="G386" s="46"/>
      <c r="H386" s="46"/>
      <c r="I386" s="46"/>
    </row>
    <row r="387">
      <c r="A387" s="49"/>
      <c r="B387" s="46"/>
      <c r="C387" s="46"/>
      <c r="D387" s="46"/>
      <c r="E387" s="46"/>
      <c r="F387" s="46"/>
      <c r="G387" s="46"/>
      <c r="H387" s="46"/>
      <c r="I387" s="46"/>
    </row>
    <row r="388">
      <c r="A388" s="49"/>
      <c r="B388" s="46"/>
      <c r="C388" s="46"/>
      <c r="D388" s="46"/>
      <c r="E388" s="46"/>
      <c r="F388" s="46"/>
      <c r="G388" s="46"/>
      <c r="H388" s="46"/>
      <c r="I388" s="46"/>
    </row>
    <row r="389">
      <c r="A389" s="49"/>
      <c r="B389" s="46"/>
      <c r="C389" s="46"/>
      <c r="D389" s="46"/>
      <c r="E389" s="46"/>
      <c r="F389" s="46"/>
      <c r="G389" s="46"/>
      <c r="H389" s="46"/>
      <c r="I389" s="46"/>
    </row>
    <row r="390">
      <c r="A390" s="49"/>
      <c r="B390" s="46"/>
      <c r="C390" s="46"/>
      <c r="D390" s="46"/>
      <c r="E390" s="46"/>
      <c r="F390" s="46"/>
      <c r="G390" s="46"/>
      <c r="H390" s="46"/>
      <c r="I390" s="46"/>
    </row>
    <row r="391">
      <c r="A391" s="49"/>
      <c r="B391" s="46"/>
      <c r="C391" s="46"/>
      <c r="D391" s="46"/>
      <c r="E391" s="46"/>
      <c r="F391" s="46"/>
      <c r="G391" s="46"/>
      <c r="H391" s="46"/>
      <c r="I391" s="46"/>
    </row>
    <row r="392">
      <c r="A392" s="49"/>
      <c r="B392" s="46"/>
      <c r="C392" s="46"/>
      <c r="D392" s="46"/>
      <c r="E392" s="46"/>
      <c r="F392" s="46"/>
      <c r="G392" s="46"/>
      <c r="H392" s="46"/>
      <c r="I392" s="46"/>
    </row>
    <row r="393">
      <c r="A393" s="49"/>
      <c r="B393" s="46"/>
      <c r="C393" s="46"/>
      <c r="D393" s="46"/>
      <c r="E393" s="46"/>
      <c r="F393" s="46"/>
      <c r="G393" s="46"/>
      <c r="H393" s="46"/>
      <c r="I393" s="46"/>
    </row>
    <row r="394">
      <c r="A394" s="49"/>
      <c r="B394" s="46"/>
      <c r="C394" s="46"/>
      <c r="D394" s="46"/>
      <c r="E394" s="46"/>
      <c r="F394" s="46"/>
      <c r="G394" s="46"/>
      <c r="H394" s="46"/>
      <c r="I394" s="46"/>
    </row>
    <row r="395">
      <c r="A395" s="49"/>
      <c r="B395" s="46"/>
      <c r="C395" s="46"/>
      <c r="D395" s="46"/>
      <c r="E395" s="46"/>
      <c r="F395" s="46"/>
      <c r="G395" s="46"/>
      <c r="H395" s="46"/>
      <c r="I395" s="46"/>
    </row>
    <row r="396">
      <c r="A396" s="49"/>
      <c r="B396" s="46"/>
      <c r="C396" s="46"/>
      <c r="D396" s="46"/>
      <c r="E396" s="46"/>
      <c r="F396" s="46"/>
      <c r="G396" s="46"/>
      <c r="H396" s="46"/>
      <c r="I396" s="46"/>
    </row>
    <row r="397">
      <c r="A397" s="49"/>
      <c r="B397" s="46"/>
      <c r="C397" s="46"/>
      <c r="D397" s="46"/>
      <c r="E397" s="46"/>
      <c r="F397" s="46"/>
      <c r="G397" s="46"/>
      <c r="H397" s="46"/>
      <c r="I397" s="46"/>
    </row>
    <row r="398">
      <c r="A398" s="49"/>
      <c r="B398" s="46"/>
      <c r="C398" s="46"/>
      <c r="D398" s="46"/>
      <c r="E398" s="46"/>
      <c r="F398" s="46"/>
      <c r="G398" s="46"/>
      <c r="H398" s="46"/>
      <c r="I398" s="46"/>
    </row>
    <row r="399">
      <c r="A399" s="49"/>
      <c r="B399" s="46"/>
      <c r="C399" s="46"/>
      <c r="D399" s="46"/>
      <c r="E399" s="46"/>
      <c r="F399" s="46"/>
      <c r="G399" s="46"/>
      <c r="H399" s="46"/>
      <c r="I399" s="46"/>
    </row>
    <row r="400">
      <c r="A400" s="49"/>
      <c r="B400" s="46"/>
      <c r="C400" s="46"/>
      <c r="D400" s="46"/>
      <c r="E400" s="46"/>
      <c r="F400" s="46"/>
      <c r="G400" s="46"/>
      <c r="H400" s="46"/>
      <c r="I400" s="46"/>
    </row>
    <row r="401">
      <c r="A401" s="49"/>
      <c r="B401" s="46"/>
      <c r="C401" s="46"/>
      <c r="D401" s="46"/>
      <c r="E401" s="46"/>
      <c r="F401" s="46"/>
      <c r="G401" s="46"/>
      <c r="H401" s="46"/>
      <c r="I401" s="46"/>
    </row>
    <row r="402">
      <c r="A402" s="49"/>
      <c r="B402" s="46"/>
      <c r="C402" s="46"/>
      <c r="D402" s="46"/>
      <c r="E402" s="46"/>
      <c r="F402" s="46"/>
      <c r="G402" s="46"/>
      <c r="H402" s="46"/>
      <c r="I402" s="46"/>
    </row>
    <row r="403">
      <c r="A403" s="49"/>
      <c r="B403" s="46"/>
      <c r="C403" s="46"/>
      <c r="D403" s="46"/>
      <c r="E403" s="46"/>
      <c r="F403" s="46"/>
      <c r="G403" s="46"/>
      <c r="H403" s="46"/>
      <c r="I403" s="46"/>
    </row>
    <row r="404">
      <c r="A404" s="49"/>
      <c r="B404" s="46"/>
      <c r="C404" s="46"/>
      <c r="D404" s="46"/>
      <c r="E404" s="46"/>
      <c r="F404" s="46"/>
      <c r="G404" s="46"/>
      <c r="H404" s="46"/>
      <c r="I404" s="46"/>
    </row>
    <row r="405">
      <c r="A405" s="49"/>
      <c r="B405" s="46"/>
      <c r="C405" s="46"/>
      <c r="D405" s="46"/>
      <c r="E405" s="46"/>
      <c r="F405" s="46"/>
      <c r="G405" s="46"/>
      <c r="H405" s="46"/>
      <c r="I405" s="46"/>
    </row>
    <row r="406">
      <c r="A406" s="49"/>
      <c r="B406" s="46"/>
      <c r="C406" s="46"/>
      <c r="D406" s="46"/>
      <c r="E406" s="46"/>
      <c r="F406" s="46"/>
      <c r="G406" s="46"/>
      <c r="H406" s="46"/>
      <c r="I406" s="46"/>
    </row>
    <row r="407">
      <c r="A407" s="49"/>
      <c r="B407" s="46"/>
      <c r="C407" s="46"/>
      <c r="D407" s="46"/>
      <c r="E407" s="46"/>
      <c r="F407" s="46"/>
      <c r="G407" s="46"/>
      <c r="H407" s="46"/>
      <c r="I407" s="46"/>
    </row>
    <row r="408">
      <c r="A408" s="49"/>
      <c r="B408" s="46"/>
      <c r="C408" s="46"/>
      <c r="D408" s="46"/>
      <c r="E408" s="46"/>
      <c r="F408" s="46"/>
      <c r="G408" s="46"/>
      <c r="H408" s="46"/>
      <c r="I408" s="46"/>
    </row>
    <row r="409">
      <c r="A409" s="49"/>
      <c r="B409" s="46"/>
      <c r="C409" s="46"/>
      <c r="D409" s="46"/>
      <c r="E409" s="46"/>
      <c r="F409" s="46"/>
      <c r="G409" s="46"/>
      <c r="H409" s="46"/>
      <c r="I409" s="46"/>
    </row>
    <row r="410">
      <c r="A410" s="49"/>
      <c r="B410" s="46"/>
      <c r="C410" s="46"/>
      <c r="D410" s="46"/>
      <c r="E410" s="46"/>
      <c r="F410" s="46"/>
      <c r="G410" s="46"/>
      <c r="H410" s="46"/>
      <c r="I410" s="46"/>
    </row>
    <row r="411">
      <c r="A411" s="49"/>
      <c r="B411" s="46"/>
      <c r="C411" s="46"/>
      <c r="D411" s="46"/>
      <c r="E411" s="46"/>
      <c r="F411" s="46"/>
      <c r="G411" s="46"/>
      <c r="H411" s="46"/>
      <c r="I411" s="46"/>
    </row>
    <row r="412">
      <c r="A412" s="49"/>
      <c r="B412" s="46"/>
      <c r="C412" s="46"/>
      <c r="D412" s="46"/>
      <c r="E412" s="46"/>
      <c r="F412" s="46"/>
      <c r="G412" s="46"/>
      <c r="H412" s="46"/>
      <c r="I412" s="46"/>
    </row>
    <row r="413">
      <c r="A413" s="49"/>
      <c r="B413" s="46"/>
      <c r="C413" s="46"/>
      <c r="D413" s="46"/>
      <c r="E413" s="46"/>
      <c r="F413" s="46"/>
      <c r="G413" s="46"/>
      <c r="H413" s="46"/>
      <c r="I413" s="46"/>
    </row>
    <row r="414">
      <c r="A414" s="49"/>
      <c r="B414" s="46"/>
      <c r="C414" s="46"/>
      <c r="D414" s="46"/>
      <c r="E414" s="46"/>
      <c r="F414" s="46"/>
      <c r="G414" s="46"/>
      <c r="H414" s="46"/>
      <c r="I414" s="46"/>
    </row>
    <row r="415">
      <c r="A415" s="49"/>
      <c r="B415" s="46"/>
      <c r="C415" s="46"/>
      <c r="D415" s="46"/>
      <c r="E415" s="46"/>
      <c r="F415" s="46"/>
      <c r="G415" s="46"/>
      <c r="H415" s="46"/>
      <c r="I415" s="46"/>
    </row>
    <row r="416">
      <c r="A416" s="49"/>
      <c r="B416" s="46"/>
      <c r="C416" s="46"/>
      <c r="D416" s="46"/>
      <c r="E416" s="46"/>
      <c r="F416" s="46"/>
      <c r="G416" s="46"/>
      <c r="H416" s="46"/>
      <c r="I416" s="46"/>
    </row>
    <row r="417">
      <c r="A417" s="49"/>
      <c r="B417" s="46"/>
      <c r="C417" s="46"/>
      <c r="D417" s="46"/>
      <c r="E417" s="46"/>
      <c r="F417" s="46"/>
      <c r="G417" s="46"/>
      <c r="H417" s="46"/>
      <c r="I417" s="46"/>
    </row>
    <row r="418">
      <c r="A418" s="49"/>
      <c r="B418" s="46"/>
      <c r="C418" s="46"/>
      <c r="D418" s="46"/>
      <c r="E418" s="46"/>
      <c r="F418" s="46"/>
      <c r="G418" s="46"/>
      <c r="H418" s="46"/>
      <c r="I418" s="46"/>
    </row>
    <row r="419">
      <c r="A419" s="49"/>
      <c r="B419" s="46"/>
      <c r="C419" s="46"/>
      <c r="D419" s="46"/>
      <c r="E419" s="46"/>
      <c r="F419" s="46"/>
      <c r="G419" s="46"/>
      <c r="H419" s="46"/>
      <c r="I419" s="46"/>
    </row>
    <row r="420">
      <c r="A420" s="49"/>
      <c r="B420" s="46"/>
      <c r="C420" s="46"/>
      <c r="D420" s="46"/>
      <c r="E420" s="46"/>
      <c r="F420" s="46"/>
      <c r="G420" s="46"/>
      <c r="H420" s="46"/>
      <c r="I420" s="46"/>
    </row>
    <row r="421">
      <c r="A421" s="49"/>
      <c r="B421" s="46"/>
      <c r="C421" s="46"/>
      <c r="D421" s="46"/>
      <c r="E421" s="46"/>
      <c r="F421" s="46"/>
      <c r="G421" s="46"/>
      <c r="H421" s="46"/>
      <c r="I421" s="46"/>
    </row>
    <row r="422">
      <c r="A422" s="49"/>
      <c r="B422" s="46"/>
      <c r="C422" s="46"/>
      <c r="D422" s="46"/>
      <c r="E422" s="46"/>
      <c r="F422" s="46"/>
      <c r="G422" s="46"/>
      <c r="H422" s="46"/>
      <c r="I422" s="46"/>
    </row>
    <row r="423">
      <c r="A423" s="49"/>
      <c r="B423" s="46"/>
      <c r="C423" s="46"/>
      <c r="D423" s="46"/>
      <c r="E423" s="46"/>
      <c r="F423" s="46"/>
      <c r="G423" s="46"/>
      <c r="H423" s="46"/>
      <c r="I423" s="46"/>
    </row>
    <row r="424">
      <c r="A424" s="49"/>
      <c r="B424" s="46"/>
      <c r="C424" s="46"/>
      <c r="D424" s="46"/>
      <c r="E424" s="46"/>
      <c r="F424" s="46"/>
      <c r="G424" s="46"/>
      <c r="H424" s="46"/>
      <c r="I424" s="46"/>
    </row>
    <row r="425">
      <c r="A425" s="49"/>
      <c r="B425" s="46"/>
      <c r="C425" s="46"/>
      <c r="D425" s="46"/>
      <c r="E425" s="46"/>
      <c r="F425" s="46"/>
      <c r="G425" s="46"/>
      <c r="H425" s="46"/>
      <c r="I425" s="46"/>
    </row>
    <row r="426">
      <c r="A426" s="49"/>
      <c r="B426" s="46"/>
      <c r="C426" s="46"/>
      <c r="D426" s="46"/>
      <c r="E426" s="46"/>
      <c r="F426" s="46"/>
      <c r="G426" s="46"/>
      <c r="H426" s="46"/>
      <c r="I426" s="46"/>
    </row>
    <row r="427">
      <c r="A427" s="49"/>
      <c r="B427" s="46"/>
      <c r="C427" s="46"/>
      <c r="D427" s="46"/>
      <c r="E427" s="46"/>
      <c r="F427" s="46"/>
      <c r="G427" s="46"/>
      <c r="H427" s="46"/>
      <c r="I427" s="46"/>
    </row>
    <row r="428">
      <c r="A428" s="49"/>
      <c r="B428" s="46"/>
      <c r="C428" s="46"/>
      <c r="D428" s="46"/>
      <c r="E428" s="46"/>
      <c r="F428" s="46"/>
      <c r="G428" s="46"/>
      <c r="H428" s="46"/>
      <c r="I428" s="46"/>
    </row>
    <row r="429">
      <c r="A429" s="49"/>
      <c r="B429" s="46"/>
      <c r="C429" s="46"/>
      <c r="D429" s="46"/>
      <c r="E429" s="46"/>
      <c r="F429" s="46"/>
      <c r="G429" s="46"/>
      <c r="H429" s="46"/>
      <c r="I429" s="46"/>
    </row>
    <row r="430">
      <c r="A430" s="49"/>
      <c r="B430" s="46"/>
      <c r="C430" s="46"/>
      <c r="D430" s="46"/>
      <c r="E430" s="46"/>
      <c r="F430" s="46"/>
      <c r="G430" s="46"/>
      <c r="H430" s="46"/>
      <c r="I430" s="46"/>
    </row>
    <row r="431">
      <c r="A431" s="49"/>
      <c r="B431" s="46"/>
      <c r="C431" s="46"/>
      <c r="D431" s="46"/>
      <c r="E431" s="46"/>
      <c r="F431" s="46"/>
      <c r="G431" s="46"/>
      <c r="H431" s="46"/>
      <c r="I431" s="46"/>
    </row>
    <row r="432">
      <c r="A432" s="49"/>
      <c r="B432" s="46"/>
      <c r="C432" s="46"/>
      <c r="D432" s="46"/>
      <c r="E432" s="46"/>
      <c r="F432" s="46"/>
      <c r="G432" s="46"/>
      <c r="H432" s="46"/>
      <c r="I432" s="46"/>
    </row>
    <row r="433">
      <c r="A433" s="49"/>
      <c r="B433" s="46"/>
      <c r="C433" s="46"/>
      <c r="D433" s="46"/>
      <c r="E433" s="46"/>
      <c r="F433" s="46"/>
      <c r="G433" s="46"/>
      <c r="H433" s="46"/>
      <c r="I433" s="46"/>
    </row>
    <row r="434">
      <c r="A434" s="49"/>
      <c r="B434" s="46"/>
      <c r="C434" s="46"/>
      <c r="D434" s="46"/>
      <c r="E434" s="46"/>
      <c r="F434" s="46"/>
      <c r="G434" s="46"/>
      <c r="H434" s="46"/>
      <c r="I434" s="46"/>
    </row>
    <row r="435">
      <c r="A435" s="49"/>
      <c r="B435" s="46"/>
      <c r="C435" s="46"/>
      <c r="D435" s="46"/>
      <c r="E435" s="46"/>
      <c r="F435" s="46"/>
      <c r="G435" s="46"/>
      <c r="H435" s="46"/>
      <c r="I435" s="46"/>
    </row>
    <row r="436">
      <c r="A436" s="49"/>
      <c r="B436" s="46"/>
      <c r="C436" s="46"/>
      <c r="D436" s="46"/>
      <c r="E436" s="46"/>
      <c r="F436" s="46"/>
      <c r="G436" s="46"/>
      <c r="H436" s="46"/>
      <c r="I436" s="46"/>
    </row>
    <row r="437">
      <c r="A437" s="49"/>
      <c r="B437" s="46"/>
      <c r="C437" s="46"/>
      <c r="D437" s="46"/>
      <c r="E437" s="46"/>
      <c r="F437" s="46"/>
      <c r="G437" s="46"/>
      <c r="H437" s="46"/>
      <c r="I437" s="46"/>
    </row>
    <row r="438">
      <c r="A438" s="49"/>
      <c r="B438" s="46"/>
      <c r="C438" s="46"/>
      <c r="D438" s="46"/>
      <c r="E438" s="46"/>
      <c r="F438" s="46"/>
      <c r="G438" s="46"/>
      <c r="H438" s="46"/>
      <c r="I438" s="46"/>
    </row>
    <row r="439">
      <c r="A439" s="49"/>
      <c r="B439" s="46"/>
      <c r="C439" s="46"/>
      <c r="D439" s="46"/>
      <c r="E439" s="46"/>
      <c r="F439" s="46"/>
      <c r="G439" s="46"/>
      <c r="H439" s="46"/>
      <c r="I439" s="46"/>
    </row>
    <row r="440">
      <c r="A440" s="49"/>
      <c r="B440" s="46"/>
      <c r="C440" s="46"/>
      <c r="D440" s="46"/>
      <c r="E440" s="46"/>
      <c r="F440" s="46"/>
      <c r="G440" s="46"/>
      <c r="H440" s="46"/>
      <c r="I440" s="46"/>
    </row>
    <row r="441">
      <c r="A441" s="49"/>
      <c r="B441" s="46"/>
      <c r="C441" s="46"/>
      <c r="D441" s="46"/>
      <c r="E441" s="46"/>
      <c r="F441" s="46"/>
      <c r="G441" s="46"/>
      <c r="H441" s="46"/>
      <c r="I441" s="46"/>
    </row>
    <row r="442">
      <c r="A442" s="49"/>
      <c r="B442" s="46"/>
      <c r="C442" s="46"/>
      <c r="D442" s="46"/>
      <c r="E442" s="46"/>
      <c r="F442" s="46"/>
      <c r="G442" s="46"/>
      <c r="H442" s="46"/>
      <c r="I442" s="46"/>
    </row>
    <row r="443">
      <c r="A443" s="49"/>
      <c r="B443" s="46"/>
      <c r="C443" s="46"/>
      <c r="D443" s="46"/>
      <c r="E443" s="46"/>
      <c r="F443" s="46"/>
      <c r="G443" s="46"/>
      <c r="H443" s="46"/>
      <c r="I443" s="46"/>
    </row>
    <row r="444">
      <c r="A444" s="49"/>
      <c r="B444" s="46"/>
      <c r="C444" s="46"/>
      <c r="D444" s="46"/>
      <c r="E444" s="46"/>
      <c r="F444" s="46"/>
      <c r="G444" s="46"/>
      <c r="H444" s="46"/>
      <c r="I444" s="46"/>
    </row>
    <row r="445">
      <c r="A445" s="49"/>
      <c r="B445" s="46"/>
      <c r="C445" s="46"/>
      <c r="D445" s="46"/>
      <c r="E445" s="46"/>
      <c r="F445" s="46"/>
      <c r="G445" s="46"/>
      <c r="H445" s="46"/>
      <c r="I445" s="46"/>
    </row>
    <row r="446">
      <c r="A446" s="49"/>
      <c r="B446" s="46"/>
      <c r="C446" s="46"/>
      <c r="D446" s="46"/>
      <c r="E446" s="46"/>
      <c r="F446" s="46"/>
      <c r="G446" s="46"/>
      <c r="H446" s="46"/>
      <c r="I446" s="46"/>
    </row>
    <row r="447">
      <c r="A447" s="49"/>
      <c r="B447" s="46"/>
      <c r="C447" s="46"/>
      <c r="D447" s="46"/>
      <c r="E447" s="46"/>
      <c r="F447" s="46"/>
      <c r="G447" s="46"/>
      <c r="H447" s="46"/>
      <c r="I447" s="46"/>
    </row>
    <row r="448">
      <c r="A448" s="49"/>
      <c r="B448" s="46"/>
      <c r="C448" s="46"/>
      <c r="D448" s="46"/>
      <c r="E448" s="46"/>
      <c r="F448" s="46"/>
      <c r="G448" s="46"/>
      <c r="H448" s="46"/>
      <c r="I448" s="46"/>
    </row>
    <row r="449">
      <c r="A449" s="49"/>
      <c r="B449" s="46"/>
      <c r="C449" s="46"/>
      <c r="D449" s="46"/>
      <c r="E449" s="46"/>
      <c r="F449" s="46"/>
      <c r="G449" s="46"/>
      <c r="H449" s="46"/>
      <c r="I449" s="46"/>
    </row>
    <row r="450">
      <c r="A450" s="49"/>
      <c r="B450" s="46"/>
      <c r="C450" s="46"/>
      <c r="D450" s="46"/>
      <c r="E450" s="46"/>
      <c r="F450" s="46"/>
      <c r="G450" s="46"/>
      <c r="H450" s="46"/>
      <c r="I450" s="46"/>
    </row>
    <row r="451">
      <c r="A451" s="49"/>
      <c r="B451" s="46"/>
      <c r="C451" s="46"/>
      <c r="D451" s="46"/>
      <c r="E451" s="46"/>
      <c r="F451" s="46"/>
      <c r="G451" s="46"/>
      <c r="H451" s="46"/>
      <c r="I451" s="46"/>
    </row>
    <row r="452">
      <c r="A452" s="49"/>
      <c r="B452" s="46"/>
      <c r="C452" s="46"/>
      <c r="D452" s="46"/>
      <c r="E452" s="46"/>
      <c r="F452" s="46"/>
      <c r="G452" s="46"/>
      <c r="H452" s="46"/>
      <c r="I452" s="46"/>
    </row>
    <row r="453">
      <c r="A453" s="49"/>
      <c r="B453" s="46"/>
      <c r="C453" s="46"/>
      <c r="D453" s="46"/>
      <c r="E453" s="46"/>
      <c r="F453" s="46"/>
      <c r="G453" s="46"/>
      <c r="H453" s="46"/>
      <c r="I453" s="46"/>
    </row>
    <row r="454">
      <c r="A454" s="49"/>
      <c r="B454" s="46"/>
      <c r="C454" s="46"/>
      <c r="D454" s="46"/>
      <c r="E454" s="46"/>
      <c r="F454" s="46"/>
      <c r="G454" s="46"/>
      <c r="H454" s="46"/>
      <c r="I454" s="46"/>
    </row>
    <row r="455">
      <c r="A455" s="49"/>
      <c r="B455" s="46"/>
      <c r="C455" s="46"/>
      <c r="D455" s="46"/>
      <c r="E455" s="46"/>
      <c r="F455" s="46"/>
      <c r="G455" s="46"/>
      <c r="H455" s="46"/>
      <c r="I455" s="46"/>
    </row>
    <row r="456">
      <c r="A456" s="49"/>
      <c r="B456" s="46"/>
      <c r="C456" s="46"/>
      <c r="D456" s="46"/>
      <c r="E456" s="46"/>
      <c r="F456" s="46"/>
      <c r="G456" s="46"/>
      <c r="H456" s="46"/>
      <c r="I456" s="46"/>
    </row>
    <row r="457">
      <c r="A457" s="49"/>
      <c r="B457" s="46"/>
      <c r="C457" s="46"/>
      <c r="D457" s="46"/>
      <c r="E457" s="46"/>
      <c r="F457" s="46"/>
      <c r="G457" s="46"/>
      <c r="H457" s="46"/>
      <c r="I457" s="46"/>
    </row>
    <row r="458">
      <c r="A458" s="49"/>
      <c r="B458" s="46"/>
      <c r="C458" s="46"/>
      <c r="D458" s="46"/>
      <c r="E458" s="46"/>
      <c r="F458" s="46"/>
      <c r="G458" s="46"/>
      <c r="H458" s="46"/>
      <c r="I458" s="46"/>
    </row>
    <row r="459">
      <c r="A459" s="49"/>
      <c r="B459" s="46"/>
      <c r="C459" s="46"/>
      <c r="D459" s="46"/>
      <c r="E459" s="46"/>
      <c r="F459" s="46"/>
      <c r="G459" s="46"/>
      <c r="H459" s="46"/>
      <c r="I459" s="46"/>
    </row>
    <row r="460">
      <c r="A460" s="49"/>
      <c r="B460" s="46"/>
      <c r="C460" s="46"/>
      <c r="D460" s="46"/>
      <c r="E460" s="46"/>
      <c r="F460" s="46"/>
      <c r="G460" s="46"/>
      <c r="H460" s="46"/>
      <c r="I460" s="46"/>
    </row>
    <row r="461">
      <c r="A461" s="49"/>
      <c r="B461" s="46"/>
      <c r="C461" s="46"/>
      <c r="D461" s="46"/>
      <c r="E461" s="46"/>
      <c r="F461" s="46"/>
      <c r="G461" s="46"/>
      <c r="H461" s="46"/>
      <c r="I461" s="46"/>
    </row>
    <row r="462">
      <c r="A462" s="49"/>
      <c r="B462" s="46"/>
      <c r="C462" s="46"/>
      <c r="D462" s="46"/>
      <c r="E462" s="46"/>
      <c r="F462" s="46"/>
      <c r="G462" s="46"/>
      <c r="H462" s="46"/>
      <c r="I462" s="46"/>
    </row>
    <row r="463">
      <c r="A463" s="49"/>
      <c r="B463" s="46"/>
      <c r="C463" s="46"/>
      <c r="D463" s="46"/>
      <c r="E463" s="46"/>
      <c r="F463" s="46"/>
      <c r="G463" s="46"/>
      <c r="H463" s="46"/>
      <c r="I463" s="46"/>
    </row>
    <row r="464">
      <c r="A464" s="49"/>
      <c r="B464" s="46"/>
      <c r="C464" s="46"/>
      <c r="D464" s="46"/>
      <c r="E464" s="46"/>
      <c r="F464" s="46"/>
      <c r="G464" s="46"/>
      <c r="H464" s="46"/>
      <c r="I464" s="46"/>
    </row>
    <row r="465">
      <c r="A465" s="49"/>
      <c r="B465" s="46"/>
      <c r="C465" s="46"/>
      <c r="D465" s="46"/>
      <c r="E465" s="46"/>
      <c r="F465" s="46"/>
      <c r="G465" s="46"/>
      <c r="H465" s="46"/>
      <c r="I465" s="46"/>
    </row>
    <row r="466">
      <c r="A466" s="49"/>
      <c r="B466" s="46"/>
      <c r="C466" s="46"/>
      <c r="D466" s="46"/>
      <c r="E466" s="46"/>
      <c r="F466" s="46"/>
      <c r="G466" s="46"/>
      <c r="H466" s="46"/>
      <c r="I466" s="46"/>
    </row>
    <row r="467">
      <c r="A467" s="49"/>
      <c r="B467" s="46"/>
      <c r="C467" s="46"/>
      <c r="D467" s="46"/>
      <c r="E467" s="46"/>
      <c r="F467" s="46"/>
      <c r="G467" s="46"/>
      <c r="H467" s="46"/>
      <c r="I467" s="46"/>
    </row>
    <row r="468">
      <c r="A468" s="49"/>
      <c r="B468" s="46"/>
      <c r="C468" s="46"/>
      <c r="D468" s="46"/>
      <c r="E468" s="46"/>
      <c r="F468" s="46"/>
      <c r="G468" s="46"/>
      <c r="H468" s="46"/>
      <c r="I468" s="46"/>
    </row>
    <row r="469">
      <c r="A469" s="49"/>
      <c r="B469" s="46"/>
      <c r="C469" s="46"/>
      <c r="D469" s="46"/>
      <c r="E469" s="46"/>
      <c r="F469" s="46"/>
      <c r="G469" s="46"/>
      <c r="H469" s="46"/>
      <c r="I469" s="46"/>
    </row>
    <row r="470">
      <c r="A470" s="49"/>
      <c r="B470" s="46"/>
      <c r="C470" s="46"/>
      <c r="D470" s="46"/>
      <c r="E470" s="46"/>
      <c r="F470" s="46"/>
      <c r="G470" s="46"/>
      <c r="H470" s="46"/>
      <c r="I470" s="46"/>
    </row>
    <row r="471">
      <c r="A471" s="49"/>
      <c r="B471" s="46"/>
      <c r="C471" s="46"/>
      <c r="D471" s="46"/>
      <c r="E471" s="46"/>
      <c r="F471" s="46"/>
      <c r="G471" s="46"/>
      <c r="H471" s="46"/>
      <c r="I471" s="46"/>
    </row>
    <row r="472">
      <c r="A472" s="49"/>
      <c r="B472" s="46"/>
      <c r="C472" s="46"/>
      <c r="D472" s="46"/>
      <c r="E472" s="46"/>
      <c r="F472" s="46"/>
      <c r="G472" s="46"/>
      <c r="H472" s="46"/>
      <c r="I472" s="46"/>
    </row>
    <row r="473">
      <c r="A473" s="49"/>
      <c r="B473" s="46"/>
      <c r="C473" s="46"/>
      <c r="D473" s="46"/>
      <c r="E473" s="46"/>
      <c r="F473" s="46"/>
      <c r="G473" s="46"/>
      <c r="H473" s="46"/>
      <c r="I473" s="46"/>
    </row>
    <row r="474">
      <c r="A474" s="49"/>
      <c r="B474" s="46"/>
      <c r="C474" s="46"/>
      <c r="D474" s="46"/>
      <c r="E474" s="46"/>
      <c r="F474" s="46"/>
      <c r="G474" s="46"/>
      <c r="H474" s="46"/>
      <c r="I474" s="46"/>
    </row>
    <row r="475">
      <c r="A475" s="49"/>
      <c r="B475" s="46"/>
      <c r="C475" s="46"/>
      <c r="D475" s="46"/>
      <c r="E475" s="46"/>
      <c r="F475" s="46"/>
      <c r="G475" s="46"/>
      <c r="H475" s="46"/>
      <c r="I475" s="46"/>
    </row>
    <row r="476">
      <c r="A476" s="49"/>
      <c r="B476" s="46"/>
      <c r="C476" s="46"/>
      <c r="D476" s="46"/>
      <c r="E476" s="46"/>
      <c r="F476" s="46"/>
      <c r="G476" s="46"/>
      <c r="H476" s="46"/>
      <c r="I476" s="46"/>
    </row>
    <row r="477">
      <c r="A477" s="49"/>
      <c r="B477" s="46"/>
      <c r="C477" s="46"/>
      <c r="D477" s="46"/>
      <c r="E477" s="46"/>
      <c r="F477" s="46"/>
      <c r="G477" s="46"/>
      <c r="H477" s="46"/>
      <c r="I477" s="46"/>
    </row>
    <row r="478">
      <c r="A478" s="49"/>
      <c r="B478" s="46"/>
      <c r="C478" s="46"/>
      <c r="D478" s="46"/>
      <c r="E478" s="46"/>
      <c r="F478" s="46"/>
      <c r="G478" s="46"/>
      <c r="H478" s="46"/>
      <c r="I478" s="46"/>
    </row>
    <row r="479">
      <c r="A479" s="49"/>
      <c r="B479" s="46"/>
      <c r="C479" s="46"/>
      <c r="D479" s="46"/>
      <c r="E479" s="46"/>
      <c r="F479" s="46"/>
      <c r="G479" s="46"/>
      <c r="H479" s="46"/>
      <c r="I479" s="46"/>
    </row>
    <row r="480">
      <c r="A480" s="49"/>
      <c r="B480" s="46"/>
      <c r="C480" s="46"/>
      <c r="D480" s="46"/>
      <c r="E480" s="46"/>
      <c r="F480" s="46"/>
      <c r="G480" s="46"/>
      <c r="H480" s="46"/>
      <c r="I480" s="46"/>
    </row>
    <row r="481">
      <c r="A481" s="49"/>
      <c r="B481" s="46"/>
      <c r="C481" s="46"/>
      <c r="D481" s="46"/>
      <c r="E481" s="46"/>
      <c r="F481" s="46"/>
      <c r="G481" s="46"/>
      <c r="H481" s="46"/>
      <c r="I481" s="46"/>
    </row>
    <row r="482">
      <c r="A482" s="49"/>
      <c r="B482" s="46"/>
      <c r="C482" s="46"/>
      <c r="D482" s="46"/>
      <c r="E482" s="46"/>
      <c r="F482" s="46"/>
      <c r="G482" s="46"/>
      <c r="H482" s="46"/>
      <c r="I482" s="46"/>
    </row>
    <row r="483">
      <c r="A483" s="49"/>
      <c r="B483" s="46"/>
      <c r="C483" s="46"/>
      <c r="D483" s="46"/>
      <c r="E483" s="46"/>
      <c r="F483" s="46"/>
      <c r="G483" s="46"/>
      <c r="H483" s="46"/>
      <c r="I483" s="46"/>
    </row>
    <row r="484">
      <c r="A484" s="49"/>
      <c r="B484" s="46"/>
      <c r="C484" s="46"/>
      <c r="D484" s="46"/>
      <c r="E484" s="46"/>
      <c r="F484" s="46"/>
      <c r="G484" s="46"/>
      <c r="H484" s="46"/>
      <c r="I484" s="46"/>
    </row>
    <row r="485">
      <c r="A485" s="49"/>
      <c r="B485" s="46"/>
      <c r="C485" s="46"/>
      <c r="D485" s="46"/>
      <c r="E485" s="46"/>
      <c r="F485" s="46"/>
      <c r="G485" s="46"/>
      <c r="H485" s="46"/>
      <c r="I485" s="46"/>
    </row>
    <row r="486">
      <c r="A486" s="49"/>
      <c r="B486" s="46"/>
      <c r="C486" s="46"/>
      <c r="D486" s="46"/>
      <c r="E486" s="46"/>
      <c r="F486" s="46"/>
      <c r="G486" s="46"/>
      <c r="H486" s="46"/>
      <c r="I486" s="46"/>
    </row>
    <row r="487">
      <c r="A487" s="49"/>
      <c r="B487" s="46"/>
      <c r="C487" s="46"/>
      <c r="D487" s="46"/>
      <c r="E487" s="46"/>
      <c r="F487" s="46"/>
      <c r="G487" s="46"/>
      <c r="H487" s="46"/>
      <c r="I487" s="46"/>
    </row>
    <row r="488">
      <c r="A488" s="49"/>
      <c r="B488" s="46"/>
      <c r="C488" s="46"/>
      <c r="D488" s="46"/>
      <c r="E488" s="46"/>
      <c r="F488" s="46"/>
      <c r="G488" s="46"/>
      <c r="H488" s="46"/>
      <c r="I488" s="46"/>
    </row>
    <row r="489">
      <c r="A489" s="49"/>
      <c r="B489" s="46"/>
      <c r="C489" s="46"/>
      <c r="D489" s="46"/>
      <c r="E489" s="46"/>
      <c r="F489" s="46"/>
      <c r="G489" s="46"/>
      <c r="H489" s="46"/>
      <c r="I489" s="46"/>
    </row>
    <row r="490">
      <c r="A490" s="49"/>
      <c r="B490" s="46"/>
      <c r="C490" s="46"/>
      <c r="D490" s="46"/>
      <c r="E490" s="46"/>
      <c r="F490" s="46"/>
      <c r="G490" s="46"/>
      <c r="H490" s="46"/>
      <c r="I490" s="46"/>
    </row>
    <row r="491">
      <c r="A491" s="49"/>
      <c r="B491" s="46"/>
      <c r="C491" s="46"/>
      <c r="D491" s="46"/>
      <c r="E491" s="46"/>
      <c r="F491" s="46"/>
      <c r="G491" s="46"/>
      <c r="H491" s="46"/>
      <c r="I491" s="46"/>
    </row>
    <row r="492">
      <c r="A492" s="49"/>
      <c r="B492" s="46"/>
      <c r="C492" s="46"/>
      <c r="D492" s="46"/>
      <c r="E492" s="46"/>
      <c r="F492" s="46"/>
      <c r="G492" s="46"/>
      <c r="H492" s="46"/>
      <c r="I492" s="46"/>
    </row>
    <row r="493">
      <c r="A493" s="49"/>
      <c r="B493" s="46"/>
      <c r="C493" s="46"/>
      <c r="D493" s="46"/>
      <c r="E493" s="46"/>
      <c r="F493" s="46"/>
      <c r="G493" s="46"/>
      <c r="H493" s="46"/>
      <c r="I493" s="46"/>
    </row>
    <row r="494">
      <c r="A494" s="49"/>
      <c r="B494" s="46"/>
      <c r="C494" s="46"/>
      <c r="D494" s="46"/>
      <c r="E494" s="46"/>
      <c r="F494" s="46"/>
      <c r="G494" s="46"/>
      <c r="H494" s="46"/>
      <c r="I494" s="46"/>
    </row>
    <row r="495">
      <c r="A495" s="49"/>
      <c r="B495" s="46"/>
      <c r="C495" s="46"/>
      <c r="D495" s="46"/>
      <c r="E495" s="46"/>
      <c r="F495" s="46"/>
      <c r="G495" s="46"/>
      <c r="H495" s="46"/>
      <c r="I495" s="46"/>
    </row>
    <row r="496">
      <c r="A496" s="49"/>
      <c r="B496" s="46"/>
      <c r="C496" s="46"/>
      <c r="D496" s="46"/>
      <c r="E496" s="46"/>
      <c r="F496" s="46"/>
      <c r="G496" s="46"/>
      <c r="H496" s="46"/>
      <c r="I496" s="46"/>
    </row>
    <row r="497">
      <c r="A497" s="49"/>
      <c r="B497" s="46"/>
      <c r="C497" s="46"/>
      <c r="D497" s="46"/>
      <c r="E497" s="46"/>
      <c r="F497" s="46"/>
      <c r="G497" s="46"/>
      <c r="H497" s="46"/>
      <c r="I497" s="46"/>
    </row>
    <row r="498">
      <c r="A498" s="49"/>
      <c r="B498" s="46"/>
      <c r="C498" s="46"/>
      <c r="D498" s="46"/>
      <c r="E498" s="46"/>
      <c r="F498" s="46"/>
      <c r="G498" s="46"/>
      <c r="H498" s="46"/>
      <c r="I498" s="46"/>
    </row>
    <row r="499">
      <c r="A499" s="49"/>
      <c r="B499" s="46"/>
      <c r="C499" s="46"/>
      <c r="D499" s="46"/>
      <c r="E499" s="46"/>
      <c r="F499" s="46"/>
      <c r="G499" s="46"/>
      <c r="H499" s="46"/>
      <c r="I499" s="46"/>
    </row>
    <row r="500">
      <c r="A500" s="49"/>
      <c r="B500" s="46"/>
      <c r="C500" s="46"/>
      <c r="D500" s="46"/>
      <c r="E500" s="46"/>
      <c r="F500" s="46"/>
      <c r="G500" s="46"/>
      <c r="H500" s="46"/>
      <c r="I500" s="46"/>
    </row>
    <row r="501">
      <c r="A501" s="49"/>
      <c r="B501" s="46"/>
      <c r="C501" s="46"/>
      <c r="D501" s="46"/>
      <c r="E501" s="46"/>
      <c r="F501" s="46"/>
      <c r="G501" s="46"/>
      <c r="H501" s="46"/>
      <c r="I501" s="46"/>
    </row>
    <row r="502">
      <c r="A502" s="49"/>
      <c r="B502" s="46"/>
      <c r="C502" s="46"/>
      <c r="D502" s="46"/>
      <c r="E502" s="46"/>
      <c r="F502" s="46"/>
      <c r="G502" s="46"/>
      <c r="H502" s="46"/>
      <c r="I502" s="46"/>
    </row>
    <row r="503">
      <c r="A503" s="49"/>
      <c r="B503" s="46"/>
      <c r="C503" s="46"/>
      <c r="D503" s="46"/>
      <c r="E503" s="46"/>
      <c r="F503" s="46"/>
      <c r="G503" s="46"/>
      <c r="H503" s="46"/>
      <c r="I503" s="46"/>
    </row>
    <row r="504">
      <c r="A504" s="49"/>
      <c r="B504" s="46"/>
      <c r="C504" s="46"/>
      <c r="D504" s="46"/>
      <c r="E504" s="46"/>
      <c r="F504" s="46"/>
      <c r="G504" s="46"/>
      <c r="H504" s="46"/>
      <c r="I504" s="46"/>
    </row>
    <row r="505">
      <c r="A505" s="49"/>
      <c r="B505" s="46"/>
      <c r="C505" s="46"/>
      <c r="D505" s="46"/>
      <c r="E505" s="46"/>
      <c r="F505" s="46"/>
      <c r="G505" s="46"/>
      <c r="H505" s="46"/>
      <c r="I505" s="46"/>
    </row>
    <row r="506">
      <c r="A506" s="49"/>
      <c r="B506" s="46"/>
      <c r="C506" s="46"/>
      <c r="D506" s="46"/>
      <c r="E506" s="46"/>
      <c r="F506" s="46"/>
      <c r="G506" s="46"/>
      <c r="H506" s="46"/>
      <c r="I506" s="46"/>
    </row>
    <row r="507">
      <c r="A507" s="49"/>
      <c r="B507" s="46"/>
      <c r="C507" s="46"/>
      <c r="D507" s="46"/>
      <c r="E507" s="46"/>
      <c r="F507" s="46"/>
      <c r="G507" s="46"/>
      <c r="H507" s="46"/>
      <c r="I507" s="46"/>
    </row>
    <row r="508">
      <c r="A508" s="49"/>
      <c r="B508" s="46"/>
      <c r="C508" s="46"/>
      <c r="D508" s="46"/>
      <c r="E508" s="46"/>
      <c r="F508" s="46"/>
      <c r="G508" s="46"/>
      <c r="H508" s="46"/>
      <c r="I508" s="46"/>
    </row>
    <row r="509">
      <c r="A509" s="49"/>
      <c r="B509" s="46"/>
      <c r="C509" s="46"/>
      <c r="D509" s="46"/>
      <c r="E509" s="46"/>
      <c r="F509" s="46"/>
      <c r="G509" s="46"/>
      <c r="H509" s="46"/>
      <c r="I509" s="46"/>
    </row>
    <row r="510">
      <c r="A510" s="49"/>
      <c r="B510" s="46"/>
      <c r="C510" s="46"/>
      <c r="D510" s="46"/>
      <c r="E510" s="46"/>
      <c r="F510" s="46"/>
      <c r="G510" s="46"/>
      <c r="H510" s="46"/>
      <c r="I510" s="46"/>
    </row>
    <row r="511">
      <c r="A511" s="49"/>
      <c r="B511" s="46"/>
      <c r="C511" s="46"/>
      <c r="D511" s="46"/>
      <c r="E511" s="46"/>
      <c r="F511" s="46"/>
      <c r="G511" s="46"/>
      <c r="H511" s="46"/>
      <c r="I511" s="46"/>
    </row>
    <row r="512">
      <c r="A512" s="49"/>
      <c r="B512" s="46"/>
      <c r="C512" s="46"/>
      <c r="D512" s="46"/>
      <c r="E512" s="46"/>
      <c r="F512" s="46"/>
      <c r="G512" s="46"/>
      <c r="H512" s="46"/>
      <c r="I512" s="46"/>
    </row>
    <row r="513">
      <c r="A513" s="49"/>
      <c r="B513" s="46"/>
      <c r="C513" s="46"/>
      <c r="D513" s="46"/>
      <c r="E513" s="46"/>
      <c r="F513" s="46"/>
      <c r="G513" s="46"/>
      <c r="H513" s="46"/>
      <c r="I513" s="46"/>
    </row>
    <row r="514">
      <c r="A514" s="49"/>
      <c r="B514" s="46"/>
      <c r="C514" s="46"/>
      <c r="D514" s="46"/>
      <c r="E514" s="46"/>
      <c r="F514" s="46"/>
      <c r="G514" s="46"/>
      <c r="H514" s="46"/>
      <c r="I514" s="46"/>
    </row>
    <row r="515">
      <c r="A515" s="49"/>
      <c r="B515" s="46"/>
      <c r="C515" s="46"/>
      <c r="D515" s="46"/>
      <c r="E515" s="46"/>
      <c r="F515" s="46"/>
      <c r="G515" s="46"/>
      <c r="H515" s="46"/>
      <c r="I515" s="46"/>
    </row>
    <row r="516">
      <c r="A516" s="49"/>
      <c r="B516" s="46"/>
      <c r="C516" s="46"/>
      <c r="D516" s="46"/>
      <c r="E516" s="46"/>
      <c r="F516" s="46"/>
      <c r="G516" s="46"/>
      <c r="H516" s="46"/>
      <c r="I516" s="46"/>
    </row>
    <row r="517">
      <c r="A517" s="49"/>
      <c r="B517" s="46"/>
      <c r="C517" s="46"/>
      <c r="D517" s="46"/>
      <c r="E517" s="46"/>
      <c r="F517" s="46"/>
      <c r="G517" s="46"/>
      <c r="H517" s="46"/>
      <c r="I517" s="46"/>
    </row>
    <row r="518">
      <c r="A518" s="49"/>
      <c r="B518" s="46"/>
      <c r="C518" s="46"/>
      <c r="D518" s="46"/>
      <c r="E518" s="46"/>
      <c r="F518" s="46"/>
      <c r="G518" s="46"/>
      <c r="H518" s="46"/>
      <c r="I518" s="46"/>
    </row>
    <row r="519">
      <c r="A519" s="49"/>
      <c r="B519" s="46"/>
      <c r="C519" s="46"/>
      <c r="D519" s="46"/>
      <c r="E519" s="46"/>
      <c r="F519" s="46"/>
      <c r="G519" s="46"/>
      <c r="H519" s="46"/>
      <c r="I519" s="46"/>
    </row>
    <row r="520">
      <c r="A520" s="49"/>
      <c r="B520" s="46"/>
      <c r="C520" s="46"/>
      <c r="D520" s="46"/>
      <c r="E520" s="46"/>
      <c r="F520" s="46"/>
      <c r="G520" s="46"/>
      <c r="H520" s="46"/>
      <c r="I520" s="46"/>
    </row>
    <row r="521">
      <c r="A521" s="49"/>
      <c r="B521" s="46"/>
      <c r="C521" s="46"/>
      <c r="D521" s="46"/>
      <c r="E521" s="46"/>
      <c r="F521" s="46"/>
      <c r="G521" s="46"/>
      <c r="H521" s="46"/>
      <c r="I521" s="46"/>
    </row>
    <row r="522">
      <c r="A522" s="49"/>
      <c r="B522" s="46"/>
      <c r="C522" s="46"/>
      <c r="D522" s="46"/>
      <c r="E522" s="46"/>
      <c r="F522" s="46"/>
      <c r="G522" s="46"/>
      <c r="H522" s="46"/>
      <c r="I522" s="46"/>
    </row>
    <row r="523">
      <c r="A523" s="49"/>
      <c r="B523" s="46"/>
      <c r="C523" s="46"/>
      <c r="D523" s="46"/>
      <c r="E523" s="46"/>
      <c r="F523" s="46"/>
      <c r="G523" s="46"/>
      <c r="H523" s="46"/>
      <c r="I523" s="46"/>
    </row>
    <row r="524">
      <c r="A524" s="49"/>
      <c r="B524" s="46"/>
      <c r="C524" s="46"/>
      <c r="D524" s="46"/>
      <c r="E524" s="46"/>
      <c r="F524" s="46"/>
      <c r="G524" s="46"/>
      <c r="H524" s="46"/>
      <c r="I524" s="46"/>
    </row>
    <row r="525">
      <c r="A525" s="49"/>
      <c r="B525" s="46"/>
      <c r="C525" s="46"/>
      <c r="D525" s="46"/>
      <c r="E525" s="46"/>
      <c r="F525" s="46"/>
      <c r="G525" s="46"/>
      <c r="H525" s="46"/>
      <c r="I525" s="46"/>
    </row>
    <row r="526">
      <c r="A526" s="49"/>
      <c r="B526" s="46"/>
      <c r="C526" s="46"/>
      <c r="D526" s="46"/>
      <c r="E526" s="46"/>
      <c r="F526" s="46"/>
      <c r="G526" s="46"/>
      <c r="H526" s="46"/>
      <c r="I526" s="46"/>
    </row>
    <row r="527">
      <c r="A527" s="49"/>
      <c r="B527" s="46"/>
      <c r="C527" s="46"/>
      <c r="D527" s="46"/>
      <c r="E527" s="46"/>
      <c r="F527" s="46"/>
      <c r="G527" s="46"/>
      <c r="H527" s="46"/>
      <c r="I527" s="46"/>
    </row>
    <row r="528">
      <c r="A528" s="49"/>
      <c r="B528" s="46"/>
      <c r="C528" s="46"/>
      <c r="D528" s="46"/>
      <c r="E528" s="46"/>
      <c r="F528" s="46"/>
      <c r="G528" s="46"/>
      <c r="H528" s="46"/>
      <c r="I528" s="46"/>
    </row>
    <row r="529">
      <c r="A529" s="49"/>
      <c r="B529" s="46"/>
      <c r="C529" s="46"/>
      <c r="D529" s="46"/>
      <c r="E529" s="46"/>
      <c r="F529" s="46"/>
      <c r="G529" s="46"/>
      <c r="H529" s="46"/>
      <c r="I529" s="46"/>
    </row>
    <row r="530">
      <c r="A530" s="49"/>
      <c r="B530" s="46"/>
      <c r="C530" s="46"/>
      <c r="D530" s="46"/>
      <c r="E530" s="46"/>
      <c r="F530" s="46"/>
      <c r="G530" s="46"/>
      <c r="H530" s="46"/>
      <c r="I530" s="46"/>
    </row>
    <row r="531">
      <c r="A531" s="49"/>
      <c r="B531" s="46"/>
      <c r="C531" s="46"/>
      <c r="D531" s="46"/>
      <c r="E531" s="46"/>
      <c r="F531" s="46"/>
      <c r="G531" s="46"/>
      <c r="H531" s="46"/>
      <c r="I531" s="46"/>
    </row>
    <row r="532">
      <c r="A532" s="49"/>
      <c r="B532" s="46"/>
      <c r="C532" s="46"/>
      <c r="D532" s="46"/>
      <c r="E532" s="46"/>
      <c r="F532" s="46"/>
      <c r="G532" s="46"/>
      <c r="H532" s="46"/>
      <c r="I532" s="46"/>
    </row>
    <row r="533">
      <c r="A533" s="49"/>
      <c r="B533" s="46"/>
      <c r="C533" s="46"/>
      <c r="D533" s="46"/>
      <c r="E533" s="46"/>
      <c r="F533" s="46"/>
      <c r="G533" s="46"/>
      <c r="H533" s="46"/>
      <c r="I533" s="46"/>
    </row>
    <row r="534">
      <c r="A534" s="49"/>
      <c r="B534" s="46"/>
      <c r="C534" s="46"/>
      <c r="D534" s="46"/>
      <c r="E534" s="46"/>
      <c r="F534" s="46"/>
      <c r="G534" s="46"/>
      <c r="H534" s="46"/>
      <c r="I534" s="46"/>
    </row>
    <row r="535">
      <c r="A535" s="49"/>
      <c r="B535" s="46"/>
      <c r="C535" s="46"/>
      <c r="D535" s="46"/>
      <c r="E535" s="46"/>
      <c r="F535" s="46"/>
      <c r="G535" s="46"/>
      <c r="H535" s="46"/>
      <c r="I535" s="46"/>
    </row>
    <row r="536">
      <c r="A536" s="49"/>
      <c r="B536" s="46"/>
      <c r="C536" s="46"/>
      <c r="D536" s="46"/>
      <c r="E536" s="46"/>
      <c r="F536" s="46"/>
      <c r="G536" s="46"/>
      <c r="H536" s="46"/>
      <c r="I536" s="46"/>
    </row>
    <row r="537">
      <c r="A537" s="49"/>
      <c r="B537" s="46"/>
      <c r="C537" s="46"/>
      <c r="D537" s="46"/>
      <c r="E537" s="46"/>
      <c r="F537" s="46"/>
      <c r="G537" s="46"/>
      <c r="H537" s="46"/>
      <c r="I537" s="46"/>
    </row>
    <row r="538">
      <c r="A538" s="49"/>
      <c r="B538" s="46"/>
      <c r="C538" s="46"/>
      <c r="D538" s="46"/>
      <c r="E538" s="46"/>
      <c r="F538" s="46"/>
      <c r="G538" s="46"/>
      <c r="H538" s="46"/>
      <c r="I538" s="46"/>
    </row>
    <row r="539">
      <c r="A539" s="49"/>
      <c r="B539" s="46"/>
      <c r="C539" s="46"/>
      <c r="D539" s="46"/>
      <c r="E539" s="46"/>
      <c r="F539" s="46"/>
      <c r="G539" s="46"/>
      <c r="H539" s="46"/>
      <c r="I539" s="46"/>
    </row>
    <row r="540">
      <c r="A540" s="49"/>
      <c r="B540" s="46"/>
      <c r="C540" s="46"/>
      <c r="D540" s="46"/>
      <c r="E540" s="46"/>
      <c r="F540" s="46"/>
      <c r="G540" s="46"/>
      <c r="H540" s="46"/>
      <c r="I540" s="46"/>
    </row>
    <row r="541">
      <c r="A541" s="49"/>
      <c r="B541" s="46"/>
      <c r="C541" s="46"/>
      <c r="D541" s="46"/>
      <c r="E541" s="46"/>
      <c r="F541" s="46"/>
      <c r="G541" s="46"/>
      <c r="H541" s="46"/>
      <c r="I541" s="46"/>
    </row>
    <row r="542">
      <c r="A542" s="49"/>
      <c r="B542" s="46"/>
      <c r="C542" s="46"/>
      <c r="D542" s="46"/>
      <c r="E542" s="46"/>
      <c r="F542" s="46"/>
      <c r="G542" s="46"/>
      <c r="H542" s="46"/>
      <c r="I542" s="46"/>
    </row>
    <row r="543">
      <c r="A543" s="49"/>
      <c r="B543" s="46"/>
      <c r="C543" s="46"/>
      <c r="D543" s="46"/>
      <c r="E543" s="46"/>
      <c r="F543" s="46"/>
      <c r="G543" s="46"/>
      <c r="H543" s="46"/>
      <c r="I543" s="46"/>
    </row>
    <row r="544">
      <c r="A544" s="49"/>
      <c r="B544" s="46"/>
      <c r="C544" s="46"/>
      <c r="D544" s="46"/>
      <c r="E544" s="46"/>
      <c r="F544" s="46"/>
      <c r="G544" s="46"/>
      <c r="H544" s="46"/>
      <c r="I544" s="46"/>
    </row>
    <row r="545">
      <c r="A545" s="49"/>
      <c r="B545" s="46"/>
      <c r="C545" s="46"/>
      <c r="D545" s="46"/>
      <c r="E545" s="46"/>
      <c r="F545" s="46"/>
      <c r="G545" s="46"/>
      <c r="H545" s="46"/>
      <c r="I545" s="46"/>
    </row>
    <row r="546">
      <c r="A546" s="49"/>
      <c r="B546" s="46"/>
      <c r="C546" s="46"/>
      <c r="D546" s="46"/>
      <c r="E546" s="46"/>
      <c r="F546" s="46"/>
      <c r="G546" s="46"/>
      <c r="H546" s="46"/>
      <c r="I546" s="46"/>
    </row>
    <row r="547">
      <c r="A547" s="49"/>
      <c r="B547" s="46"/>
      <c r="C547" s="46"/>
      <c r="D547" s="46"/>
      <c r="E547" s="46"/>
      <c r="F547" s="46"/>
      <c r="G547" s="46"/>
      <c r="H547" s="46"/>
      <c r="I547" s="46"/>
    </row>
    <row r="548">
      <c r="A548" s="49"/>
      <c r="B548" s="46"/>
      <c r="C548" s="46"/>
      <c r="D548" s="46"/>
      <c r="E548" s="46"/>
      <c r="F548" s="46"/>
      <c r="G548" s="46"/>
      <c r="H548" s="46"/>
      <c r="I548" s="46"/>
    </row>
    <row r="549">
      <c r="A549" s="49"/>
      <c r="B549" s="46"/>
      <c r="C549" s="46"/>
      <c r="D549" s="46"/>
      <c r="E549" s="46"/>
      <c r="F549" s="46"/>
      <c r="G549" s="46"/>
      <c r="H549" s="46"/>
      <c r="I549" s="46"/>
    </row>
    <row r="550">
      <c r="A550" s="49"/>
      <c r="B550" s="46"/>
      <c r="C550" s="46"/>
      <c r="D550" s="46"/>
      <c r="E550" s="46"/>
      <c r="F550" s="46"/>
      <c r="G550" s="46"/>
      <c r="H550" s="46"/>
      <c r="I550" s="46"/>
    </row>
    <row r="551">
      <c r="A551" s="49"/>
      <c r="B551" s="46"/>
      <c r="C551" s="46"/>
      <c r="D551" s="46"/>
      <c r="E551" s="46"/>
      <c r="F551" s="46"/>
      <c r="G551" s="46"/>
      <c r="H551" s="46"/>
      <c r="I551" s="46"/>
    </row>
    <row r="552">
      <c r="A552" s="49"/>
      <c r="B552" s="46"/>
      <c r="C552" s="46"/>
      <c r="D552" s="46"/>
      <c r="E552" s="46"/>
      <c r="F552" s="46"/>
      <c r="G552" s="46"/>
      <c r="H552" s="46"/>
      <c r="I552" s="46"/>
    </row>
    <row r="553">
      <c r="A553" s="49"/>
      <c r="B553" s="46"/>
      <c r="C553" s="46"/>
      <c r="D553" s="46"/>
      <c r="E553" s="46"/>
      <c r="F553" s="46"/>
      <c r="G553" s="46"/>
      <c r="H553" s="46"/>
      <c r="I553" s="46"/>
    </row>
    <row r="554">
      <c r="A554" s="49"/>
      <c r="B554" s="46"/>
      <c r="C554" s="46"/>
      <c r="D554" s="46"/>
      <c r="E554" s="46"/>
      <c r="F554" s="46"/>
      <c r="G554" s="46"/>
      <c r="H554" s="46"/>
      <c r="I554" s="46"/>
    </row>
    <row r="555">
      <c r="A555" s="49"/>
      <c r="B555" s="46"/>
      <c r="C555" s="46"/>
      <c r="D555" s="46"/>
      <c r="E555" s="46"/>
      <c r="F555" s="46"/>
      <c r="G555" s="46"/>
      <c r="H555" s="46"/>
      <c r="I555" s="46"/>
    </row>
    <row r="556">
      <c r="A556" s="49"/>
      <c r="B556" s="46"/>
      <c r="C556" s="46"/>
      <c r="D556" s="46"/>
      <c r="E556" s="46"/>
      <c r="F556" s="46"/>
      <c r="G556" s="46"/>
      <c r="H556" s="46"/>
      <c r="I556" s="46"/>
    </row>
    <row r="557">
      <c r="A557" s="49"/>
      <c r="B557" s="46"/>
      <c r="C557" s="46"/>
      <c r="D557" s="46"/>
      <c r="E557" s="46"/>
      <c r="F557" s="46"/>
      <c r="G557" s="46"/>
      <c r="H557" s="46"/>
      <c r="I557" s="46"/>
    </row>
    <row r="558">
      <c r="A558" s="49"/>
      <c r="B558" s="46"/>
      <c r="C558" s="46"/>
      <c r="D558" s="46"/>
      <c r="E558" s="46"/>
      <c r="F558" s="46"/>
      <c r="G558" s="46"/>
      <c r="H558" s="46"/>
      <c r="I558" s="46"/>
    </row>
    <row r="559">
      <c r="A559" s="49"/>
      <c r="B559" s="46"/>
      <c r="C559" s="46"/>
      <c r="D559" s="46"/>
      <c r="E559" s="46"/>
      <c r="F559" s="46"/>
      <c r="G559" s="46"/>
      <c r="H559" s="46"/>
      <c r="I559" s="46"/>
    </row>
    <row r="560">
      <c r="A560" s="49"/>
      <c r="B560" s="46"/>
      <c r="C560" s="46"/>
      <c r="D560" s="46"/>
      <c r="E560" s="46"/>
      <c r="F560" s="46"/>
      <c r="G560" s="46"/>
      <c r="H560" s="46"/>
      <c r="I560" s="46"/>
    </row>
    <row r="561">
      <c r="A561" s="49"/>
      <c r="B561" s="46"/>
      <c r="C561" s="46"/>
      <c r="D561" s="46"/>
      <c r="E561" s="46"/>
      <c r="F561" s="46"/>
      <c r="G561" s="46"/>
      <c r="H561" s="46"/>
      <c r="I561" s="46"/>
    </row>
    <row r="562">
      <c r="A562" s="49"/>
      <c r="B562" s="46"/>
      <c r="C562" s="46"/>
      <c r="D562" s="46"/>
      <c r="E562" s="46"/>
      <c r="F562" s="46"/>
      <c r="G562" s="46"/>
      <c r="H562" s="46"/>
      <c r="I562" s="46"/>
    </row>
    <row r="563">
      <c r="A563" s="49"/>
      <c r="B563" s="46"/>
      <c r="C563" s="46"/>
      <c r="D563" s="46"/>
      <c r="E563" s="46"/>
      <c r="F563" s="46"/>
      <c r="G563" s="46"/>
      <c r="H563" s="46"/>
      <c r="I563" s="46"/>
    </row>
    <row r="564">
      <c r="A564" s="49"/>
      <c r="B564" s="46"/>
      <c r="C564" s="46"/>
      <c r="D564" s="46"/>
      <c r="E564" s="46"/>
      <c r="F564" s="46"/>
      <c r="G564" s="46"/>
      <c r="H564" s="46"/>
      <c r="I564" s="46"/>
    </row>
    <row r="565">
      <c r="A565" s="49"/>
      <c r="B565" s="46"/>
      <c r="C565" s="46"/>
      <c r="D565" s="46"/>
      <c r="E565" s="46"/>
      <c r="F565" s="46"/>
      <c r="G565" s="46"/>
      <c r="H565" s="46"/>
      <c r="I565" s="46"/>
    </row>
    <row r="566">
      <c r="A566" s="49"/>
      <c r="B566" s="46"/>
      <c r="C566" s="46"/>
      <c r="D566" s="46"/>
      <c r="E566" s="46"/>
      <c r="F566" s="46"/>
      <c r="G566" s="46"/>
      <c r="H566" s="46"/>
      <c r="I566" s="46"/>
    </row>
    <row r="567">
      <c r="A567" s="49"/>
      <c r="B567" s="46"/>
      <c r="C567" s="46"/>
      <c r="D567" s="46"/>
      <c r="E567" s="46"/>
      <c r="F567" s="46"/>
      <c r="G567" s="46"/>
      <c r="H567" s="46"/>
      <c r="I567" s="46"/>
    </row>
    <row r="568">
      <c r="A568" s="49"/>
      <c r="B568" s="46"/>
      <c r="C568" s="46"/>
      <c r="D568" s="46"/>
      <c r="E568" s="46"/>
      <c r="F568" s="46"/>
      <c r="G568" s="46"/>
      <c r="H568" s="46"/>
      <c r="I568" s="46"/>
    </row>
    <row r="569">
      <c r="A569" s="49"/>
      <c r="B569" s="46"/>
      <c r="C569" s="46"/>
      <c r="D569" s="46"/>
      <c r="E569" s="46"/>
      <c r="F569" s="46"/>
      <c r="G569" s="46"/>
      <c r="H569" s="46"/>
      <c r="I569" s="46"/>
    </row>
    <row r="570">
      <c r="A570" s="49"/>
      <c r="B570" s="46"/>
      <c r="C570" s="46"/>
      <c r="D570" s="46"/>
      <c r="E570" s="46"/>
      <c r="F570" s="46"/>
      <c r="G570" s="46"/>
      <c r="H570" s="46"/>
      <c r="I570" s="46"/>
    </row>
    <row r="571">
      <c r="A571" s="49"/>
      <c r="B571" s="46"/>
      <c r="C571" s="46"/>
      <c r="D571" s="46"/>
      <c r="E571" s="46"/>
      <c r="F571" s="46"/>
      <c r="G571" s="46"/>
      <c r="H571" s="46"/>
      <c r="I571" s="46"/>
    </row>
    <row r="572">
      <c r="A572" s="49"/>
      <c r="B572" s="46"/>
      <c r="C572" s="46"/>
      <c r="D572" s="46"/>
      <c r="E572" s="46"/>
      <c r="F572" s="46"/>
      <c r="G572" s="46"/>
      <c r="H572" s="46"/>
      <c r="I572" s="46"/>
    </row>
    <row r="573">
      <c r="A573" s="49"/>
      <c r="B573" s="46"/>
      <c r="C573" s="46"/>
      <c r="D573" s="46"/>
      <c r="E573" s="46"/>
      <c r="F573" s="46"/>
      <c r="G573" s="46"/>
      <c r="H573" s="46"/>
      <c r="I573" s="46"/>
    </row>
    <row r="574">
      <c r="A574" s="49"/>
      <c r="B574" s="46"/>
      <c r="C574" s="46"/>
      <c r="D574" s="46"/>
      <c r="E574" s="46"/>
      <c r="F574" s="46"/>
      <c r="G574" s="46"/>
      <c r="H574" s="46"/>
      <c r="I574" s="46"/>
    </row>
    <row r="575">
      <c r="A575" s="49"/>
      <c r="B575" s="46"/>
      <c r="C575" s="46"/>
      <c r="D575" s="46"/>
      <c r="E575" s="46"/>
      <c r="F575" s="46"/>
      <c r="G575" s="46"/>
      <c r="H575" s="46"/>
      <c r="I575" s="46"/>
    </row>
    <row r="576">
      <c r="A576" s="49"/>
      <c r="B576" s="46"/>
      <c r="C576" s="46"/>
      <c r="D576" s="46"/>
      <c r="E576" s="46"/>
      <c r="F576" s="46"/>
      <c r="G576" s="46"/>
      <c r="H576" s="46"/>
      <c r="I576" s="46"/>
    </row>
    <row r="577">
      <c r="A577" s="49"/>
      <c r="B577" s="46"/>
      <c r="C577" s="46"/>
      <c r="D577" s="46"/>
      <c r="E577" s="46"/>
      <c r="F577" s="46"/>
      <c r="G577" s="46"/>
      <c r="H577" s="46"/>
      <c r="I577" s="46"/>
    </row>
    <row r="578">
      <c r="A578" s="49"/>
      <c r="B578" s="46"/>
      <c r="C578" s="46"/>
      <c r="D578" s="46"/>
      <c r="E578" s="46"/>
      <c r="F578" s="46"/>
      <c r="G578" s="46"/>
      <c r="H578" s="46"/>
      <c r="I578" s="46"/>
    </row>
    <row r="579">
      <c r="A579" s="49"/>
      <c r="B579" s="46"/>
      <c r="C579" s="46"/>
      <c r="D579" s="46"/>
      <c r="E579" s="46"/>
      <c r="F579" s="46"/>
      <c r="G579" s="46"/>
      <c r="H579" s="46"/>
      <c r="I579" s="46"/>
    </row>
    <row r="580">
      <c r="A580" s="49"/>
      <c r="B580" s="46"/>
      <c r="C580" s="46"/>
      <c r="D580" s="46"/>
      <c r="E580" s="46"/>
      <c r="F580" s="46"/>
      <c r="G580" s="46"/>
      <c r="H580" s="46"/>
      <c r="I580" s="46"/>
    </row>
    <row r="581">
      <c r="A581" s="49"/>
      <c r="B581" s="46"/>
      <c r="C581" s="46"/>
      <c r="D581" s="46"/>
      <c r="E581" s="46"/>
      <c r="F581" s="46"/>
      <c r="G581" s="46"/>
      <c r="H581" s="46"/>
      <c r="I581" s="46"/>
    </row>
    <row r="582">
      <c r="A582" s="49"/>
      <c r="B582" s="46"/>
      <c r="C582" s="46"/>
      <c r="D582" s="46"/>
      <c r="E582" s="46"/>
      <c r="F582" s="46"/>
      <c r="G582" s="46"/>
      <c r="H582" s="46"/>
      <c r="I582" s="46"/>
    </row>
    <row r="583">
      <c r="A583" s="49"/>
      <c r="B583" s="46"/>
      <c r="C583" s="46"/>
      <c r="D583" s="46"/>
      <c r="E583" s="46"/>
      <c r="F583" s="46"/>
      <c r="G583" s="46"/>
      <c r="H583" s="46"/>
      <c r="I583" s="46"/>
    </row>
    <row r="584">
      <c r="A584" s="49"/>
      <c r="B584" s="46"/>
      <c r="C584" s="46"/>
      <c r="D584" s="46"/>
      <c r="E584" s="46"/>
      <c r="F584" s="46"/>
      <c r="G584" s="46"/>
      <c r="H584" s="46"/>
      <c r="I584" s="46"/>
    </row>
    <row r="585">
      <c r="A585" s="49"/>
      <c r="B585" s="46"/>
      <c r="C585" s="46"/>
      <c r="D585" s="46"/>
      <c r="E585" s="46"/>
      <c r="F585" s="46"/>
      <c r="G585" s="46"/>
      <c r="H585" s="46"/>
      <c r="I585" s="46"/>
    </row>
    <row r="586">
      <c r="A586" s="49"/>
      <c r="B586" s="46"/>
      <c r="C586" s="46"/>
      <c r="D586" s="46"/>
      <c r="E586" s="46"/>
      <c r="F586" s="46"/>
      <c r="G586" s="46"/>
      <c r="H586" s="46"/>
      <c r="I586" s="46"/>
    </row>
    <row r="587">
      <c r="A587" s="49"/>
      <c r="B587" s="46"/>
      <c r="C587" s="46"/>
      <c r="D587" s="46"/>
      <c r="E587" s="46"/>
      <c r="F587" s="46"/>
      <c r="G587" s="46"/>
      <c r="H587" s="46"/>
      <c r="I587" s="46"/>
    </row>
    <row r="588">
      <c r="A588" s="49"/>
      <c r="B588" s="46"/>
      <c r="C588" s="46"/>
      <c r="D588" s="46"/>
      <c r="E588" s="46"/>
      <c r="F588" s="46"/>
      <c r="G588" s="46"/>
      <c r="H588" s="46"/>
      <c r="I588" s="46"/>
    </row>
    <row r="589">
      <c r="A589" s="49"/>
      <c r="B589" s="46"/>
      <c r="C589" s="46"/>
      <c r="D589" s="46"/>
      <c r="E589" s="46"/>
      <c r="F589" s="46"/>
      <c r="G589" s="46"/>
      <c r="H589" s="46"/>
      <c r="I589" s="46"/>
    </row>
    <row r="590">
      <c r="A590" s="49"/>
      <c r="B590" s="46"/>
      <c r="C590" s="46"/>
      <c r="D590" s="46"/>
      <c r="E590" s="46"/>
      <c r="F590" s="46"/>
      <c r="G590" s="46"/>
      <c r="H590" s="46"/>
      <c r="I590" s="46"/>
    </row>
    <row r="591">
      <c r="A591" s="49"/>
      <c r="B591" s="46"/>
      <c r="C591" s="46"/>
      <c r="D591" s="46"/>
      <c r="E591" s="46"/>
      <c r="F591" s="46"/>
      <c r="G591" s="46"/>
      <c r="H591" s="46"/>
      <c r="I591" s="46"/>
    </row>
    <row r="592">
      <c r="A592" s="49"/>
      <c r="B592" s="46"/>
      <c r="C592" s="46"/>
      <c r="D592" s="46"/>
      <c r="E592" s="46"/>
      <c r="F592" s="46"/>
      <c r="G592" s="46"/>
      <c r="H592" s="46"/>
      <c r="I592" s="46"/>
    </row>
    <row r="593">
      <c r="A593" s="49"/>
      <c r="B593" s="46"/>
      <c r="C593" s="46"/>
      <c r="D593" s="46"/>
      <c r="E593" s="46"/>
      <c r="F593" s="46"/>
      <c r="G593" s="46"/>
      <c r="H593" s="46"/>
      <c r="I593" s="46"/>
    </row>
    <row r="594">
      <c r="A594" s="49"/>
      <c r="B594" s="46"/>
      <c r="C594" s="46"/>
      <c r="D594" s="46"/>
      <c r="E594" s="46"/>
      <c r="F594" s="46"/>
      <c r="G594" s="46"/>
      <c r="H594" s="46"/>
      <c r="I594" s="46"/>
    </row>
    <row r="595">
      <c r="A595" s="49"/>
      <c r="B595" s="46"/>
      <c r="C595" s="46"/>
      <c r="D595" s="46"/>
      <c r="E595" s="46"/>
      <c r="F595" s="46"/>
      <c r="G595" s="46"/>
      <c r="H595" s="46"/>
      <c r="I595" s="46"/>
    </row>
    <row r="596">
      <c r="A596" s="49"/>
      <c r="B596" s="46"/>
      <c r="C596" s="46"/>
      <c r="D596" s="46"/>
      <c r="E596" s="46"/>
      <c r="F596" s="46"/>
      <c r="G596" s="46"/>
      <c r="H596" s="46"/>
      <c r="I596" s="46"/>
    </row>
    <row r="597">
      <c r="A597" s="49"/>
      <c r="B597" s="46"/>
      <c r="C597" s="46"/>
      <c r="D597" s="46"/>
      <c r="E597" s="46"/>
      <c r="F597" s="46"/>
      <c r="G597" s="46"/>
      <c r="H597" s="46"/>
      <c r="I597" s="46"/>
    </row>
    <row r="598">
      <c r="A598" s="49"/>
      <c r="B598" s="46"/>
      <c r="C598" s="46"/>
      <c r="D598" s="46"/>
      <c r="E598" s="46"/>
      <c r="F598" s="46"/>
      <c r="G598" s="46"/>
      <c r="H598" s="46"/>
      <c r="I598" s="46"/>
    </row>
    <row r="599">
      <c r="A599" s="49"/>
      <c r="B599" s="46"/>
      <c r="C599" s="46"/>
      <c r="D599" s="46"/>
      <c r="E599" s="46"/>
      <c r="F599" s="46"/>
      <c r="G599" s="46"/>
      <c r="H599" s="46"/>
      <c r="I599" s="46"/>
    </row>
    <row r="600">
      <c r="A600" s="49"/>
      <c r="B600" s="46"/>
      <c r="C600" s="46"/>
      <c r="D600" s="46"/>
      <c r="E600" s="46"/>
      <c r="F600" s="46"/>
      <c r="G600" s="46"/>
      <c r="H600" s="46"/>
      <c r="I600" s="46"/>
    </row>
    <row r="601">
      <c r="A601" s="49"/>
      <c r="B601" s="46"/>
      <c r="C601" s="46"/>
      <c r="D601" s="46"/>
      <c r="E601" s="46"/>
      <c r="F601" s="46"/>
      <c r="G601" s="46"/>
      <c r="H601" s="46"/>
      <c r="I601" s="46"/>
    </row>
    <row r="602">
      <c r="A602" s="49"/>
      <c r="B602" s="46"/>
      <c r="C602" s="46"/>
      <c r="D602" s="46"/>
      <c r="E602" s="46"/>
      <c r="F602" s="46"/>
      <c r="G602" s="46"/>
      <c r="H602" s="46"/>
      <c r="I602" s="46"/>
    </row>
    <row r="603">
      <c r="A603" s="49"/>
      <c r="B603" s="46"/>
      <c r="C603" s="46"/>
      <c r="D603" s="46"/>
      <c r="E603" s="46"/>
      <c r="F603" s="46"/>
      <c r="G603" s="46"/>
      <c r="H603" s="46"/>
      <c r="I603" s="46"/>
    </row>
    <row r="604">
      <c r="A604" s="49"/>
      <c r="B604" s="46"/>
      <c r="C604" s="46"/>
      <c r="D604" s="46"/>
      <c r="E604" s="46"/>
      <c r="F604" s="46"/>
      <c r="G604" s="46"/>
      <c r="H604" s="46"/>
      <c r="I604" s="46"/>
    </row>
    <row r="605">
      <c r="A605" s="49"/>
      <c r="B605" s="46"/>
      <c r="C605" s="46"/>
      <c r="D605" s="46"/>
      <c r="E605" s="46"/>
      <c r="F605" s="46"/>
      <c r="G605" s="46"/>
      <c r="H605" s="46"/>
      <c r="I605" s="46"/>
    </row>
    <row r="606">
      <c r="A606" s="49"/>
      <c r="B606" s="46"/>
      <c r="C606" s="46"/>
      <c r="D606" s="46"/>
      <c r="E606" s="46"/>
      <c r="F606" s="46"/>
      <c r="G606" s="46"/>
      <c r="H606" s="46"/>
      <c r="I606" s="46"/>
    </row>
    <row r="607">
      <c r="A607" s="49"/>
      <c r="B607" s="46"/>
      <c r="C607" s="46"/>
      <c r="D607" s="46"/>
      <c r="E607" s="46"/>
      <c r="F607" s="46"/>
      <c r="G607" s="46"/>
      <c r="H607" s="46"/>
      <c r="I607" s="46"/>
    </row>
    <row r="608">
      <c r="A608" s="49"/>
      <c r="B608" s="46"/>
      <c r="C608" s="46"/>
      <c r="D608" s="46"/>
      <c r="E608" s="46"/>
      <c r="F608" s="46"/>
      <c r="G608" s="46"/>
      <c r="H608" s="46"/>
      <c r="I608" s="46"/>
    </row>
    <row r="609">
      <c r="A609" s="49"/>
      <c r="B609" s="46"/>
      <c r="C609" s="46"/>
      <c r="D609" s="46"/>
      <c r="E609" s="46"/>
      <c r="F609" s="46"/>
      <c r="G609" s="46"/>
      <c r="H609" s="46"/>
      <c r="I609" s="46"/>
    </row>
    <row r="610">
      <c r="A610" s="49"/>
      <c r="B610" s="46"/>
      <c r="C610" s="46"/>
      <c r="D610" s="46"/>
      <c r="E610" s="46"/>
      <c r="F610" s="46"/>
      <c r="G610" s="46"/>
      <c r="H610" s="46"/>
      <c r="I610" s="46"/>
    </row>
    <row r="611">
      <c r="A611" s="49"/>
      <c r="B611" s="46"/>
      <c r="C611" s="46"/>
      <c r="D611" s="46"/>
      <c r="E611" s="46"/>
      <c r="F611" s="46"/>
      <c r="G611" s="46"/>
      <c r="H611" s="46"/>
      <c r="I611" s="46"/>
    </row>
    <row r="612">
      <c r="A612" s="49"/>
      <c r="B612" s="46"/>
      <c r="C612" s="46"/>
      <c r="D612" s="46"/>
      <c r="E612" s="46"/>
      <c r="F612" s="46"/>
      <c r="G612" s="46"/>
      <c r="H612" s="46"/>
      <c r="I612" s="46"/>
    </row>
    <row r="613">
      <c r="A613" s="49"/>
      <c r="B613" s="46"/>
      <c r="C613" s="46"/>
      <c r="D613" s="46"/>
      <c r="E613" s="46"/>
      <c r="F613" s="46"/>
      <c r="G613" s="46"/>
      <c r="H613" s="46"/>
      <c r="I613" s="46"/>
    </row>
    <row r="614">
      <c r="A614" s="49"/>
      <c r="B614" s="46"/>
      <c r="C614" s="46"/>
      <c r="D614" s="46"/>
      <c r="E614" s="46"/>
      <c r="F614" s="46"/>
      <c r="G614" s="46"/>
      <c r="H614" s="46"/>
      <c r="I614" s="46"/>
    </row>
    <row r="615">
      <c r="A615" s="49"/>
      <c r="B615" s="46"/>
      <c r="C615" s="46"/>
      <c r="D615" s="46"/>
      <c r="E615" s="46"/>
      <c r="F615" s="46"/>
      <c r="G615" s="46"/>
      <c r="H615" s="46"/>
      <c r="I615" s="46"/>
    </row>
    <row r="616">
      <c r="A616" s="49"/>
      <c r="B616" s="46"/>
      <c r="C616" s="46"/>
      <c r="D616" s="46"/>
      <c r="E616" s="46"/>
      <c r="F616" s="46"/>
      <c r="G616" s="46"/>
      <c r="H616" s="46"/>
      <c r="I616" s="46"/>
    </row>
    <row r="617">
      <c r="A617" s="49"/>
      <c r="B617" s="46"/>
      <c r="C617" s="46"/>
      <c r="D617" s="46"/>
      <c r="E617" s="46"/>
      <c r="F617" s="46"/>
      <c r="G617" s="46"/>
      <c r="H617" s="46"/>
      <c r="I617" s="46"/>
    </row>
    <row r="618">
      <c r="A618" s="49"/>
      <c r="B618" s="46"/>
      <c r="C618" s="46"/>
      <c r="D618" s="46"/>
      <c r="E618" s="46"/>
      <c r="F618" s="46"/>
      <c r="G618" s="46"/>
      <c r="H618" s="46"/>
      <c r="I618" s="46"/>
    </row>
    <row r="619">
      <c r="A619" s="49"/>
      <c r="B619" s="46"/>
      <c r="C619" s="46"/>
      <c r="D619" s="46"/>
      <c r="E619" s="46"/>
      <c r="F619" s="46"/>
      <c r="G619" s="46"/>
      <c r="H619" s="46"/>
      <c r="I619" s="46"/>
    </row>
    <row r="620">
      <c r="A620" s="49"/>
      <c r="B620" s="46"/>
      <c r="C620" s="46"/>
      <c r="D620" s="46"/>
      <c r="E620" s="46"/>
      <c r="F620" s="46"/>
      <c r="G620" s="46"/>
      <c r="H620" s="46"/>
      <c r="I620" s="46"/>
    </row>
    <row r="621">
      <c r="A621" s="49"/>
      <c r="B621" s="46"/>
      <c r="C621" s="46"/>
      <c r="D621" s="46"/>
      <c r="E621" s="46"/>
      <c r="F621" s="46"/>
      <c r="G621" s="46"/>
      <c r="H621" s="46"/>
      <c r="I621" s="46"/>
    </row>
    <row r="622">
      <c r="A622" s="49"/>
      <c r="B622" s="46"/>
      <c r="C622" s="46"/>
      <c r="D622" s="46"/>
      <c r="E622" s="46"/>
      <c r="F622" s="46"/>
      <c r="G622" s="46"/>
      <c r="H622" s="46"/>
      <c r="I622" s="46"/>
    </row>
    <row r="623">
      <c r="A623" s="49"/>
      <c r="B623" s="46"/>
      <c r="C623" s="46"/>
      <c r="D623" s="46"/>
      <c r="E623" s="46"/>
      <c r="F623" s="46"/>
      <c r="G623" s="46"/>
      <c r="H623" s="46"/>
      <c r="I623" s="46"/>
    </row>
    <row r="624">
      <c r="A624" s="49"/>
      <c r="B624" s="46"/>
      <c r="C624" s="46"/>
      <c r="D624" s="46"/>
      <c r="E624" s="46"/>
      <c r="F624" s="46"/>
      <c r="G624" s="46"/>
      <c r="H624" s="46"/>
      <c r="I624" s="46"/>
    </row>
    <row r="625">
      <c r="A625" s="49"/>
      <c r="B625" s="46"/>
      <c r="C625" s="46"/>
      <c r="D625" s="46"/>
      <c r="E625" s="46"/>
      <c r="F625" s="46"/>
      <c r="G625" s="46"/>
      <c r="H625" s="46"/>
      <c r="I625" s="46"/>
    </row>
    <row r="626">
      <c r="A626" s="49"/>
      <c r="B626" s="46"/>
      <c r="C626" s="46"/>
      <c r="D626" s="46"/>
      <c r="E626" s="46"/>
      <c r="F626" s="46"/>
      <c r="G626" s="46"/>
      <c r="H626" s="46"/>
      <c r="I626" s="46"/>
    </row>
    <row r="627">
      <c r="A627" s="49"/>
      <c r="B627" s="46"/>
      <c r="C627" s="46"/>
      <c r="D627" s="46"/>
      <c r="E627" s="46"/>
      <c r="F627" s="46"/>
      <c r="G627" s="46"/>
      <c r="H627" s="46"/>
      <c r="I627" s="46"/>
    </row>
    <row r="628">
      <c r="A628" s="49"/>
      <c r="B628" s="46"/>
      <c r="C628" s="46"/>
      <c r="D628" s="46"/>
      <c r="E628" s="46"/>
      <c r="F628" s="46"/>
      <c r="G628" s="46"/>
      <c r="H628" s="46"/>
      <c r="I628" s="46"/>
    </row>
    <row r="629">
      <c r="A629" s="49"/>
      <c r="B629" s="46"/>
      <c r="C629" s="46"/>
      <c r="D629" s="46"/>
      <c r="E629" s="46"/>
      <c r="F629" s="46"/>
      <c r="G629" s="46"/>
      <c r="H629" s="46"/>
      <c r="I629" s="46"/>
    </row>
    <row r="630">
      <c r="A630" s="49"/>
      <c r="B630" s="46"/>
      <c r="C630" s="46"/>
      <c r="D630" s="46"/>
      <c r="E630" s="46"/>
      <c r="F630" s="46"/>
      <c r="G630" s="46"/>
      <c r="H630" s="46"/>
      <c r="I630" s="46"/>
    </row>
    <row r="631">
      <c r="A631" s="49"/>
      <c r="B631" s="46"/>
      <c r="C631" s="46"/>
      <c r="D631" s="46"/>
      <c r="E631" s="46"/>
      <c r="F631" s="46"/>
      <c r="G631" s="46"/>
      <c r="H631" s="46"/>
      <c r="I631" s="46"/>
    </row>
    <row r="632">
      <c r="A632" s="49"/>
      <c r="B632" s="46"/>
      <c r="C632" s="46"/>
      <c r="D632" s="46"/>
      <c r="E632" s="46"/>
      <c r="F632" s="46"/>
      <c r="G632" s="46"/>
      <c r="H632" s="46"/>
      <c r="I632" s="46"/>
    </row>
    <row r="633">
      <c r="A633" s="49"/>
      <c r="B633" s="46"/>
      <c r="C633" s="46"/>
      <c r="D633" s="46"/>
      <c r="E633" s="46"/>
      <c r="F633" s="46"/>
      <c r="G633" s="46"/>
      <c r="H633" s="46"/>
      <c r="I633" s="46"/>
    </row>
    <row r="634">
      <c r="A634" s="49"/>
      <c r="B634" s="46"/>
      <c r="C634" s="46"/>
      <c r="D634" s="46"/>
      <c r="E634" s="46"/>
      <c r="F634" s="46"/>
      <c r="G634" s="46"/>
      <c r="H634" s="46"/>
      <c r="I634" s="46"/>
    </row>
    <row r="635">
      <c r="A635" s="49"/>
      <c r="B635" s="46"/>
      <c r="C635" s="46"/>
      <c r="D635" s="46"/>
      <c r="E635" s="46"/>
      <c r="F635" s="46"/>
      <c r="G635" s="46"/>
      <c r="H635" s="46"/>
      <c r="I635" s="46"/>
    </row>
    <row r="636">
      <c r="A636" s="49"/>
      <c r="B636" s="46"/>
      <c r="C636" s="46"/>
      <c r="D636" s="46"/>
      <c r="E636" s="46"/>
      <c r="F636" s="46"/>
      <c r="G636" s="46"/>
      <c r="H636" s="46"/>
      <c r="I636" s="46"/>
    </row>
    <row r="637">
      <c r="A637" s="49"/>
      <c r="B637" s="46"/>
      <c r="C637" s="46"/>
      <c r="D637" s="46"/>
      <c r="E637" s="46"/>
      <c r="F637" s="46"/>
      <c r="G637" s="46"/>
      <c r="H637" s="46"/>
      <c r="I637" s="46"/>
    </row>
    <row r="638">
      <c r="A638" s="49"/>
      <c r="B638" s="46"/>
      <c r="C638" s="46"/>
      <c r="D638" s="46"/>
      <c r="E638" s="46"/>
      <c r="F638" s="46"/>
      <c r="G638" s="46"/>
      <c r="H638" s="46"/>
      <c r="I638" s="46"/>
    </row>
    <row r="639">
      <c r="A639" s="49"/>
      <c r="B639" s="46"/>
      <c r="C639" s="46"/>
      <c r="D639" s="46"/>
      <c r="E639" s="46"/>
      <c r="F639" s="46"/>
      <c r="G639" s="46"/>
      <c r="H639" s="46"/>
      <c r="I639" s="46"/>
    </row>
    <row r="640">
      <c r="A640" s="49"/>
      <c r="B640" s="46"/>
      <c r="C640" s="46"/>
      <c r="D640" s="46"/>
      <c r="E640" s="46"/>
      <c r="F640" s="46"/>
      <c r="G640" s="46"/>
      <c r="H640" s="46"/>
      <c r="I640" s="46"/>
    </row>
    <row r="641">
      <c r="A641" s="49"/>
      <c r="B641" s="46"/>
      <c r="C641" s="46"/>
      <c r="D641" s="46"/>
      <c r="E641" s="46"/>
      <c r="F641" s="46"/>
      <c r="G641" s="46"/>
      <c r="H641" s="46"/>
      <c r="I641" s="46"/>
    </row>
    <row r="642">
      <c r="A642" s="49"/>
      <c r="B642" s="46"/>
      <c r="C642" s="46"/>
      <c r="D642" s="46"/>
      <c r="E642" s="46"/>
      <c r="F642" s="46"/>
      <c r="G642" s="46"/>
      <c r="H642" s="46"/>
      <c r="I642" s="46"/>
    </row>
    <row r="643">
      <c r="A643" s="49"/>
      <c r="B643" s="46"/>
      <c r="C643" s="46"/>
      <c r="D643" s="46"/>
      <c r="E643" s="46"/>
      <c r="F643" s="46"/>
      <c r="G643" s="46"/>
      <c r="H643" s="46"/>
      <c r="I643" s="46"/>
    </row>
    <row r="644">
      <c r="A644" s="49"/>
      <c r="B644" s="46"/>
      <c r="C644" s="46"/>
      <c r="D644" s="46"/>
      <c r="E644" s="46"/>
      <c r="F644" s="46"/>
      <c r="G644" s="46"/>
      <c r="H644" s="46"/>
      <c r="I644" s="46"/>
    </row>
    <row r="645">
      <c r="A645" s="49"/>
      <c r="B645" s="46"/>
      <c r="C645" s="46"/>
      <c r="D645" s="46"/>
      <c r="E645" s="46"/>
      <c r="F645" s="46"/>
      <c r="G645" s="46"/>
      <c r="H645" s="46"/>
      <c r="I645" s="46"/>
    </row>
    <row r="646">
      <c r="A646" s="49"/>
      <c r="B646" s="46"/>
      <c r="C646" s="46"/>
      <c r="D646" s="46"/>
      <c r="E646" s="46"/>
      <c r="F646" s="46"/>
      <c r="G646" s="46"/>
      <c r="H646" s="46"/>
      <c r="I646" s="46"/>
    </row>
    <row r="647">
      <c r="A647" s="49"/>
      <c r="B647" s="46"/>
      <c r="C647" s="46"/>
      <c r="D647" s="46"/>
      <c r="E647" s="46"/>
      <c r="F647" s="46"/>
      <c r="G647" s="46"/>
      <c r="H647" s="46"/>
      <c r="I647" s="46"/>
    </row>
    <row r="648">
      <c r="A648" s="49"/>
      <c r="B648" s="46"/>
      <c r="C648" s="46"/>
      <c r="D648" s="46"/>
      <c r="E648" s="46"/>
      <c r="F648" s="46"/>
      <c r="G648" s="46"/>
      <c r="H648" s="46"/>
      <c r="I648" s="46"/>
    </row>
    <row r="649">
      <c r="A649" s="49"/>
      <c r="B649" s="46"/>
      <c r="C649" s="46"/>
      <c r="D649" s="46"/>
      <c r="E649" s="46"/>
      <c r="F649" s="46"/>
      <c r="G649" s="46"/>
      <c r="H649" s="46"/>
      <c r="I649" s="46"/>
    </row>
    <row r="650">
      <c r="A650" s="49"/>
      <c r="B650" s="46"/>
      <c r="C650" s="46"/>
      <c r="D650" s="46"/>
      <c r="E650" s="46"/>
      <c r="F650" s="46"/>
      <c r="G650" s="46"/>
      <c r="H650" s="46"/>
      <c r="I650" s="46"/>
    </row>
    <row r="651">
      <c r="A651" s="49"/>
      <c r="B651" s="46"/>
      <c r="C651" s="46"/>
      <c r="D651" s="46"/>
      <c r="E651" s="46"/>
      <c r="F651" s="46"/>
      <c r="G651" s="46"/>
      <c r="H651" s="46"/>
      <c r="I651" s="46"/>
    </row>
    <row r="652">
      <c r="A652" s="49"/>
      <c r="B652" s="46"/>
      <c r="C652" s="46"/>
      <c r="D652" s="46"/>
      <c r="E652" s="46"/>
      <c r="F652" s="46"/>
      <c r="G652" s="46"/>
      <c r="H652" s="46"/>
      <c r="I652" s="46"/>
    </row>
    <row r="653">
      <c r="A653" s="49"/>
      <c r="B653" s="46"/>
      <c r="C653" s="46"/>
      <c r="D653" s="46"/>
      <c r="E653" s="46"/>
      <c r="F653" s="46"/>
      <c r="G653" s="46"/>
      <c r="H653" s="46"/>
      <c r="I653" s="46"/>
    </row>
    <row r="654">
      <c r="A654" s="49"/>
      <c r="B654" s="46"/>
      <c r="C654" s="46"/>
      <c r="D654" s="46"/>
      <c r="E654" s="46"/>
      <c r="F654" s="46"/>
      <c r="G654" s="46"/>
      <c r="H654" s="46"/>
      <c r="I654" s="46"/>
    </row>
    <row r="655">
      <c r="A655" s="49"/>
      <c r="B655" s="46"/>
      <c r="C655" s="46"/>
      <c r="D655" s="46"/>
      <c r="E655" s="46"/>
      <c r="F655" s="46"/>
      <c r="G655" s="46"/>
      <c r="H655" s="46"/>
      <c r="I655" s="46"/>
    </row>
    <row r="656">
      <c r="A656" s="49"/>
      <c r="B656" s="46"/>
      <c r="C656" s="46"/>
      <c r="D656" s="46"/>
      <c r="E656" s="46"/>
      <c r="F656" s="46"/>
      <c r="G656" s="46"/>
      <c r="H656" s="46"/>
      <c r="I656" s="46"/>
    </row>
    <row r="657">
      <c r="A657" s="49"/>
      <c r="B657" s="46"/>
      <c r="C657" s="46"/>
      <c r="D657" s="46"/>
      <c r="E657" s="46"/>
      <c r="F657" s="46"/>
      <c r="G657" s="46"/>
      <c r="H657" s="46"/>
      <c r="I657" s="46"/>
    </row>
    <row r="658">
      <c r="A658" s="49"/>
      <c r="B658" s="46"/>
      <c r="C658" s="46"/>
      <c r="D658" s="46"/>
      <c r="E658" s="46"/>
      <c r="F658" s="46"/>
      <c r="G658" s="46"/>
      <c r="H658" s="46"/>
      <c r="I658" s="46"/>
    </row>
    <row r="659">
      <c r="A659" s="49"/>
      <c r="B659" s="46"/>
      <c r="C659" s="46"/>
      <c r="D659" s="46"/>
      <c r="E659" s="46"/>
      <c r="F659" s="46"/>
      <c r="G659" s="46"/>
      <c r="H659" s="46"/>
      <c r="I659" s="46"/>
    </row>
    <row r="660">
      <c r="A660" s="49"/>
      <c r="B660" s="46"/>
      <c r="C660" s="46"/>
      <c r="D660" s="46"/>
      <c r="E660" s="46"/>
      <c r="F660" s="46"/>
      <c r="G660" s="46"/>
      <c r="H660" s="46"/>
      <c r="I660" s="46"/>
    </row>
    <row r="661">
      <c r="A661" s="49"/>
      <c r="B661" s="46"/>
      <c r="C661" s="46"/>
      <c r="D661" s="46"/>
      <c r="E661" s="46"/>
      <c r="F661" s="46"/>
      <c r="G661" s="46"/>
      <c r="H661" s="46"/>
      <c r="I661" s="46"/>
    </row>
    <row r="662">
      <c r="A662" s="49"/>
      <c r="B662" s="46"/>
      <c r="C662" s="46"/>
      <c r="D662" s="46"/>
      <c r="E662" s="46"/>
      <c r="F662" s="46"/>
      <c r="G662" s="46"/>
      <c r="H662" s="46"/>
      <c r="I662" s="46"/>
    </row>
    <row r="663">
      <c r="A663" s="49"/>
      <c r="B663" s="46"/>
      <c r="C663" s="46"/>
      <c r="D663" s="46"/>
      <c r="E663" s="46"/>
      <c r="F663" s="46"/>
      <c r="G663" s="46"/>
      <c r="H663" s="46"/>
      <c r="I663" s="46"/>
    </row>
    <row r="664">
      <c r="A664" s="49"/>
      <c r="B664" s="46"/>
      <c r="C664" s="46"/>
      <c r="D664" s="46"/>
      <c r="E664" s="46"/>
      <c r="F664" s="46"/>
      <c r="G664" s="46"/>
      <c r="H664" s="46"/>
      <c r="I664" s="46"/>
    </row>
    <row r="665">
      <c r="A665" s="49"/>
      <c r="B665" s="46"/>
      <c r="C665" s="46"/>
      <c r="D665" s="46"/>
      <c r="E665" s="46"/>
      <c r="F665" s="46"/>
      <c r="G665" s="46"/>
      <c r="H665" s="46"/>
      <c r="I665" s="46"/>
    </row>
    <row r="666">
      <c r="A666" s="49"/>
      <c r="B666" s="46"/>
      <c r="C666" s="46"/>
      <c r="D666" s="46"/>
      <c r="E666" s="46"/>
      <c r="F666" s="46"/>
      <c r="G666" s="46"/>
      <c r="H666" s="46"/>
      <c r="I666" s="46"/>
    </row>
    <row r="667">
      <c r="A667" s="49"/>
      <c r="B667" s="46"/>
      <c r="C667" s="46"/>
      <c r="D667" s="46"/>
      <c r="E667" s="46"/>
      <c r="F667" s="46"/>
      <c r="G667" s="46"/>
      <c r="H667" s="46"/>
      <c r="I667" s="46"/>
    </row>
    <row r="668">
      <c r="A668" s="49"/>
      <c r="B668" s="46"/>
      <c r="C668" s="46"/>
      <c r="D668" s="46"/>
      <c r="E668" s="46"/>
      <c r="F668" s="46"/>
      <c r="G668" s="46"/>
      <c r="H668" s="46"/>
      <c r="I668" s="46"/>
    </row>
    <row r="669">
      <c r="A669" s="49"/>
      <c r="B669" s="46"/>
      <c r="C669" s="46"/>
      <c r="D669" s="46"/>
      <c r="E669" s="46"/>
      <c r="F669" s="46"/>
      <c r="G669" s="46"/>
      <c r="H669" s="46"/>
      <c r="I669" s="46"/>
    </row>
    <row r="670">
      <c r="A670" s="49"/>
      <c r="B670" s="46"/>
      <c r="C670" s="46"/>
      <c r="D670" s="46"/>
      <c r="E670" s="46"/>
      <c r="F670" s="46"/>
      <c r="G670" s="46"/>
      <c r="H670" s="46"/>
      <c r="I670" s="46"/>
    </row>
    <row r="671">
      <c r="A671" s="49"/>
      <c r="B671" s="46"/>
      <c r="C671" s="46"/>
      <c r="D671" s="46"/>
      <c r="E671" s="46"/>
      <c r="F671" s="46"/>
      <c r="G671" s="46"/>
      <c r="H671" s="46"/>
      <c r="I671" s="46"/>
    </row>
    <row r="672">
      <c r="A672" s="49"/>
      <c r="B672" s="46"/>
      <c r="C672" s="46"/>
      <c r="D672" s="46"/>
      <c r="E672" s="46"/>
      <c r="F672" s="46"/>
      <c r="G672" s="46"/>
      <c r="H672" s="46"/>
      <c r="I672" s="46"/>
    </row>
    <row r="673">
      <c r="A673" s="49"/>
      <c r="B673" s="46"/>
      <c r="C673" s="46"/>
      <c r="D673" s="46"/>
      <c r="E673" s="46"/>
      <c r="F673" s="46"/>
      <c r="G673" s="46"/>
      <c r="H673" s="46"/>
      <c r="I673" s="46"/>
    </row>
    <row r="674">
      <c r="A674" s="49"/>
      <c r="B674" s="46"/>
      <c r="C674" s="46"/>
      <c r="D674" s="46"/>
      <c r="E674" s="46"/>
      <c r="F674" s="46"/>
      <c r="G674" s="46"/>
      <c r="H674" s="46"/>
      <c r="I674" s="46"/>
    </row>
    <row r="675">
      <c r="A675" s="49"/>
      <c r="B675" s="46"/>
      <c r="C675" s="46"/>
      <c r="D675" s="46"/>
      <c r="E675" s="46"/>
      <c r="F675" s="46"/>
      <c r="G675" s="46"/>
      <c r="H675" s="46"/>
      <c r="I675" s="46"/>
    </row>
    <row r="676">
      <c r="A676" s="49"/>
      <c r="B676" s="46"/>
      <c r="C676" s="46"/>
      <c r="D676" s="46"/>
      <c r="E676" s="46"/>
      <c r="F676" s="46"/>
      <c r="G676" s="46"/>
      <c r="H676" s="46"/>
      <c r="I676" s="46"/>
    </row>
    <row r="677">
      <c r="A677" s="49"/>
      <c r="B677" s="46"/>
      <c r="C677" s="46"/>
      <c r="D677" s="46"/>
      <c r="E677" s="46"/>
      <c r="F677" s="46"/>
      <c r="G677" s="46"/>
      <c r="H677" s="46"/>
      <c r="I677" s="46"/>
    </row>
    <row r="678">
      <c r="A678" s="49"/>
      <c r="B678" s="46"/>
      <c r="C678" s="46"/>
      <c r="D678" s="46"/>
      <c r="E678" s="46"/>
      <c r="F678" s="46"/>
      <c r="G678" s="46"/>
      <c r="H678" s="46"/>
      <c r="I678" s="46"/>
    </row>
    <row r="679">
      <c r="A679" s="49"/>
      <c r="B679" s="46"/>
      <c r="C679" s="46"/>
      <c r="D679" s="46"/>
      <c r="E679" s="46"/>
      <c r="F679" s="46"/>
      <c r="G679" s="46"/>
      <c r="H679" s="46"/>
      <c r="I679" s="46"/>
    </row>
    <row r="680">
      <c r="A680" s="49"/>
      <c r="B680" s="46"/>
      <c r="C680" s="46"/>
      <c r="D680" s="46"/>
      <c r="E680" s="46"/>
      <c r="F680" s="46"/>
      <c r="G680" s="46"/>
      <c r="H680" s="46"/>
      <c r="I680" s="46"/>
    </row>
    <row r="681">
      <c r="A681" s="49"/>
      <c r="B681" s="46"/>
      <c r="C681" s="46"/>
      <c r="D681" s="46"/>
      <c r="E681" s="46"/>
      <c r="F681" s="46"/>
      <c r="G681" s="46"/>
      <c r="H681" s="46"/>
      <c r="I681" s="46"/>
    </row>
    <row r="682">
      <c r="A682" s="49"/>
      <c r="B682" s="46"/>
      <c r="C682" s="46"/>
      <c r="D682" s="46"/>
      <c r="E682" s="46"/>
      <c r="F682" s="46"/>
      <c r="G682" s="46"/>
      <c r="H682" s="46"/>
      <c r="I682" s="46"/>
    </row>
    <row r="683">
      <c r="A683" s="49"/>
      <c r="B683" s="46"/>
      <c r="C683" s="46"/>
      <c r="D683" s="46"/>
      <c r="E683" s="46"/>
      <c r="F683" s="46"/>
      <c r="G683" s="46"/>
      <c r="H683" s="46"/>
      <c r="I683" s="46"/>
    </row>
    <row r="684">
      <c r="A684" s="49"/>
      <c r="B684" s="46"/>
      <c r="C684" s="46"/>
      <c r="D684" s="46"/>
      <c r="E684" s="46"/>
      <c r="F684" s="46"/>
      <c r="G684" s="46"/>
      <c r="H684" s="46"/>
      <c r="I684" s="46"/>
    </row>
    <row r="685">
      <c r="A685" s="49"/>
      <c r="B685" s="46"/>
      <c r="C685" s="46"/>
      <c r="D685" s="46"/>
      <c r="E685" s="46"/>
      <c r="F685" s="46"/>
      <c r="G685" s="46"/>
      <c r="H685" s="46"/>
      <c r="I685" s="46"/>
    </row>
    <row r="686">
      <c r="A686" s="49"/>
      <c r="B686" s="46"/>
      <c r="C686" s="46"/>
      <c r="D686" s="46"/>
      <c r="E686" s="46"/>
      <c r="F686" s="46"/>
      <c r="G686" s="46"/>
      <c r="H686" s="46"/>
      <c r="I686" s="46"/>
    </row>
    <row r="687">
      <c r="A687" s="49"/>
      <c r="B687" s="46"/>
      <c r="C687" s="46"/>
      <c r="D687" s="46"/>
      <c r="E687" s="46"/>
      <c r="F687" s="46"/>
      <c r="G687" s="46"/>
      <c r="H687" s="46"/>
      <c r="I687" s="46"/>
    </row>
    <row r="688">
      <c r="A688" s="49"/>
      <c r="B688" s="46"/>
      <c r="C688" s="46"/>
      <c r="D688" s="46"/>
      <c r="E688" s="46"/>
      <c r="F688" s="46"/>
      <c r="G688" s="46"/>
      <c r="H688" s="46"/>
      <c r="I688" s="46"/>
    </row>
    <row r="689">
      <c r="A689" s="49"/>
      <c r="B689" s="46"/>
      <c r="C689" s="46"/>
      <c r="D689" s="46"/>
      <c r="E689" s="46"/>
      <c r="F689" s="46"/>
      <c r="G689" s="46"/>
      <c r="H689" s="46"/>
      <c r="I689" s="46"/>
    </row>
    <row r="690">
      <c r="A690" s="49"/>
      <c r="B690" s="46"/>
      <c r="C690" s="46"/>
      <c r="D690" s="46"/>
      <c r="E690" s="46"/>
      <c r="F690" s="46"/>
      <c r="G690" s="46"/>
      <c r="H690" s="46"/>
      <c r="I690" s="46"/>
    </row>
    <row r="691">
      <c r="A691" s="49"/>
      <c r="B691" s="46"/>
      <c r="C691" s="46"/>
      <c r="D691" s="46"/>
      <c r="E691" s="46"/>
      <c r="F691" s="46"/>
      <c r="G691" s="46"/>
      <c r="H691" s="46"/>
      <c r="I691" s="46"/>
    </row>
    <row r="692">
      <c r="A692" s="49"/>
      <c r="B692" s="46"/>
      <c r="C692" s="46"/>
      <c r="D692" s="46"/>
      <c r="E692" s="46"/>
      <c r="F692" s="46"/>
      <c r="G692" s="46"/>
      <c r="H692" s="46"/>
      <c r="I692" s="46"/>
    </row>
    <row r="693">
      <c r="A693" s="49"/>
      <c r="B693" s="46"/>
      <c r="C693" s="46"/>
      <c r="D693" s="46"/>
      <c r="E693" s="46"/>
      <c r="F693" s="46"/>
      <c r="G693" s="46"/>
      <c r="H693" s="46"/>
      <c r="I693" s="46"/>
    </row>
    <row r="694">
      <c r="A694" s="49"/>
      <c r="B694" s="46"/>
      <c r="C694" s="46"/>
      <c r="D694" s="46"/>
      <c r="E694" s="46"/>
      <c r="F694" s="46"/>
      <c r="G694" s="46"/>
      <c r="H694" s="46"/>
      <c r="I694" s="46"/>
    </row>
    <row r="695">
      <c r="A695" s="49"/>
      <c r="B695" s="46"/>
      <c r="C695" s="46"/>
      <c r="D695" s="46"/>
      <c r="E695" s="46"/>
      <c r="F695" s="46"/>
      <c r="G695" s="46"/>
      <c r="H695" s="46"/>
      <c r="I695" s="46"/>
    </row>
    <row r="696">
      <c r="A696" s="49"/>
      <c r="B696" s="46"/>
      <c r="C696" s="46"/>
      <c r="D696" s="46"/>
      <c r="E696" s="46"/>
      <c r="F696" s="46"/>
      <c r="G696" s="46"/>
      <c r="H696" s="46"/>
      <c r="I696" s="46"/>
    </row>
    <row r="697">
      <c r="A697" s="49"/>
      <c r="B697" s="46"/>
      <c r="C697" s="46"/>
      <c r="D697" s="46"/>
      <c r="E697" s="46"/>
      <c r="F697" s="46"/>
      <c r="G697" s="46"/>
      <c r="H697" s="46"/>
      <c r="I697" s="46"/>
    </row>
    <row r="698">
      <c r="A698" s="49"/>
      <c r="B698" s="46"/>
      <c r="C698" s="46"/>
      <c r="D698" s="46"/>
      <c r="E698" s="46"/>
      <c r="F698" s="46"/>
      <c r="G698" s="46"/>
      <c r="H698" s="46"/>
      <c r="I698" s="46"/>
    </row>
    <row r="699">
      <c r="A699" s="49"/>
      <c r="B699" s="46"/>
      <c r="C699" s="46"/>
      <c r="D699" s="46"/>
      <c r="E699" s="46"/>
      <c r="F699" s="46"/>
      <c r="G699" s="46"/>
      <c r="H699" s="46"/>
      <c r="I699" s="46"/>
    </row>
    <row r="700">
      <c r="A700" s="49"/>
      <c r="B700" s="46"/>
      <c r="C700" s="46"/>
      <c r="D700" s="46"/>
      <c r="E700" s="46"/>
      <c r="F700" s="46"/>
      <c r="G700" s="46"/>
      <c r="H700" s="46"/>
      <c r="I700" s="46"/>
    </row>
    <row r="701">
      <c r="A701" s="49"/>
      <c r="B701" s="46"/>
      <c r="C701" s="46"/>
      <c r="D701" s="46"/>
      <c r="E701" s="46"/>
      <c r="F701" s="46"/>
      <c r="G701" s="46"/>
      <c r="H701" s="46"/>
      <c r="I701" s="46"/>
    </row>
    <row r="702">
      <c r="A702" s="49"/>
      <c r="B702" s="46"/>
      <c r="C702" s="46"/>
      <c r="D702" s="46"/>
      <c r="E702" s="46"/>
      <c r="F702" s="46"/>
      <c r="G702" s="46"/>
      <c r="H702" s="46"/>
      <c r="I702" s="46"/>
    </row>
    <row r="703">
      <c r="A703" s="49"/>
      <c r="B703" s="46"/>
      <c r="C703" s="46"/>
      <c r="D703" s="46"/>
      <c r="E703" s="46"/>
      <c r="F703" s="46"/>
      <c r="G703" s="46"/>
      <c r="H703" s="46"/>
      <c r="I703" s="46"/>
    </row>
    <row r="704">
      <c r="A704" s="49"/>
      <c r="B704" s="46"/>
      <c r="C704" s="46"/>
      <c r="D704" s="46"/>
      <c r="E704" s="46"/>
      <c r="F704" s="46"/>
      <c r="G704" s="46"/>
      <c r="H704" s="46"/>
      <c r="I704" s="46"/>
    </row>
    <row r="705">
      <c r="A705" s="49"/>
      <c r="B705" s="46"/>
      <c r="C705" s="46"/>
      <c r="D705" s="46"/>
      <c r="E705" s="46"/>
      <c r="F705" s="46"/>
      <c r="G705" s="46"/>
      <c r="H705" s="46"/>
      <c r="I705" s="46"/>
    </row>
    <row r="706">
      <c r="A706" s="49"/>
      <c r="B706" s="46"/>
      <c r="C706" s="46"/>
      <c r="D706" s="46"/>
      <c r="E706" s="46"/>
      <c r="F706" s="46"/>
      <c r="G706" s="46"/>
      <c r="H706" s="46"/>
      <c r="I706" s="46"/>
    </row>
    <row r="707">
      <c r="A707" s="49"/>
      <c r="B707" s="46"/>
      <c r="C707" s="46"/>
      <c r="D707" s="46"/>
      <c r="E707" s="46"/>
      <c r="F707" s="46"/>
      <c r="G707" s="46"/>
      <c r="H707" s="46"/>
      <c r="I707" s="46"/>
    </row>
    <row r="708">
      <c r="A708" s="49"/>
      <c r="B708" s="46"/>
      <c r="C708" s="46"/>
      <c r="D708" s="46"/>
      <c r="E708" s="46"/>
      <c r="F708" s="46"/>
      <c r="G708" s="46"/>
      <c r="H708" s="46"/>
      <c r="I708" s="46"/>
    </row>
    <row r="709">
      <c r="A709" s="49"/>
      <c r="B709" s="46"/>
      <c r="C709" s="46"/>
      <c r="D709" s="46"/>
      <c r="E709" s="46"/>
      <c r="F709" s="46"/>
      <c r="G709" s="46"/>
      <c r="H709" s="46"/>
      <c r="I709" s="46"/>
    </row>
    <row r="710">
      <c r="A710" s="49"/>
      <c r="B710" s="46"/>
      <c r="C710" s="46"/>
      <c r="D710" s="46"/>
      <c r="E710" s="46"/>
      <c r="F710" s="46"/>
      <c r="G710" s="46"/>
      <c r="H710" s="46"/>
      <c r="I710" s="46"/>
    </row>
    <row r="711">
      <c r="A711" s="49"/>
      <c r="B711" s="46"/>
      <c r="C711" s="46"/>
      <c r="D711" s="46"/>
      <c r="E711" s="46"/>
      <c r="F711" s="46"/>
      <c r="G711" s="46"/>
      <c r="H711" s="46"/>
      <c r="I711" s="46"/>
    </row>
    <row r="712">
      <c r="A712" s="49"/>
      <c r="B712" s="46"/>
      <c r="C712" s="46"/>
      <c r="D712" s="46"/>
      <c r="E712" s="46"/>
      <c r="F712" s="46"/>
      <c r="G712" s="46"/>
      <c r="H712" s="46"/>
      <c r="I712" s="46"/>
    </row>
    <row r="713">
      <c r="A713" s="49"/>
      <c r="B713" s="46"/>
      <c r="C713" s="46"/>
      <c r="D713" s="46"/>
      <c r="E713" s="46"/>
      <c r="F713" s="46"/>
      <c r="G713" s="46"/>
      <c r="H713" s="46"/>
      <c r="I713" s="46"/>
    </row>
    <row r="714">
      <c r="A714" s="49"/>
      <c r="B714" s="46"/>
      <c r="C714" s="46"/>
      <c r="D714" s="46"/>
      <c r="E714" s="46"/>
      <c r="F714" s="46"/>
      <c r="G714" s="46"/>
      <c r="H714" s="46"/>
      <c r="I714" s="46"/>
    </row>
    <row r="715">
      <c r="A715" s="49"/>
      <c r="B715" s="46"/>
      <c r="C715" s="46"/>
      <c r="D715" s="46"/>
      <c r="E715" s="46"/>
      <c r="F715" s="46"/>
      <c r="G715" s="46"/>
      <c r="H715" s="46"/>
      <c r="I715" s="46"/>
    </row>
    <row r="716">
      <c r="A716" s="49"/>
      <c r="B716" s="46"/>
      <c r="C716" s="46"/>
      <c r="D716" s="46"/>
      <c r="E716" s="46"/>
      <c r="F716" s="46"/>
      <c r="G716" s="46"/>
      <c r="H716" s="46"/>
      <c r="I716" s="46"/>
    </row>
    <row r="717">
      <c r="A717" s="49"/>
      <c r="B717" s="46"/>
      <c r="C717" s="46"/>
      <c r="D717" s="46"/>
      <c r="E717" s="46"/>
      <c r="F717" s="46"/>
      <c r="G717" s="46"/>
      <c r="H717" s="46"/>
      <c r="I717" s="46"/>
    </row>
    <row r="718">
      <c r="A718" s="49"/>
      <c r="B718" s="46"/>
      <c r="C718" s="46"/>
      <c r="D718" s="46"/>
      <c r="E718" s="46"/>
      <c r="F718" s="46"/>
      <c r="G718" s="46"/>
      <c r="H718" s="46"/>
      <c r="I718" s="46"/>
    </row>
    <row r="719">
      <c r="A719" s="49"/>
      <c r="B719" s="46"/>
      <c r="C719" s="46"/>
      <c r="D719" s="46"/>
      <c r="E719" s="46"/>
      <c r="F719" s="46"/>
      <c r="G719" s="46"/>
      <c r="H719" s="46"/>
      <c r="I719" s="46"/>
    </row>
    <row r="720">
      <c r="A720" s="49"/>
      <c r="B720" s="46"/>
      <c r="C720" s="46"/>
      <c r="D720" s="46"/>
      <c r="E720" s="46"/>
      <c r="F720" s="46"/>
      <c r="G720" s="46"/>
      <c r="H720" s="46"/>
      <c r="I720" s="46"/>
    </row>
    <row r="721">
      <c r="A721" s="49"/>
      <c r="B721" s="46"/>
      <c r="C721" s="46"/>
      <c r="D721" s="46"/>
      <c r="E721" s="46"/>
      <c r="F721" s="46"/>
      <c r="G721" s="46"/>
      <c r="H721" s="46"/>
      <c r="I721" s="46"/>
    </row>
    <row r="722">
      <c r="A722" s="49"/>
      <c r="B722" s="46"/>
      <c r="C722" s="46"/>
      <c r="D722" s="46"/>
      <c r="E722" s="46"/>
      <c r="F722" s="46"/>
      <c r="G722" s="46"/>
      <c r="H722" s="46"/>
      <c r="I722" s="46"/>
    </row>
    <row r="723">
      <c r="A723" s="49"/>
      <c r="B723" s="46"/>
      <c r="C723" s="46"/>
      <c r="D723" s="46"/>
      <c r="E723" s="46"/>
      <c r="F723" s="46"/>
      <c r="G723" s="46"/>
      <c r="H723" s="46"/>
      <c r="I723" s="46"/>
    </row>
    <row r="724">
      <c r="A724" s="49"/>
      <c r="B724" s="46"/>
      <c r="C724" s="46"/>
      <c r="D724" s="46"/>
      <c r="E724" s="46"/>
      <c r="F724" s="46"/>
      <c r="G724" s="46"/>
      <c r="H724" s="46"/>
      <c r="I724" s="46"/>
    </row>
    <row r="725">
      <c r="A725" s="49"/>
      <c r="B725" s="46"/>
      <c r="C725" s="46"/>
      <c r="D725" s="46"/>
      <c r="E725" s="46"/>
      <c r="F725" s="46"/>
      <c r="G725" s="46"/>
      <c r="H725" s="46"/>
      <c r="I725" s="46"/>
    </row>
    <row r="726">
      <c r="A726" s="49"/>
      <c r="B726" s="46"/>
      <c r="C726" s="46"/>
      <c r="D726" s="46"/>
      <c r="E726" s="46"/>
      <c r="F726" s="46"/>
      <c r="G726" s="46"/>
      <c r="H726" s="46"/>
      <c r="I726" s="46"/>
    </row>
    <row r="727">
      <c r="A727" s="49"/>
      <c r="B727" s="46"/>
      <c r="C727" s="46"/>
      <c r="D727" s="46"/>
      <c r="E727" s="46"/>
      <c r="F727" s="46"/>
      <c r="G727" s="46"/>
      <c r="H727" s="46"/>
      <c r="I727" s="46"/>
    </row>
    <row r="728">
      <c r="A728" s="49"/>
      <c r="B728" s="46"/>
      <c r="C728" s="46"/>
      <c r="D728" s="46"/>
      <c r="E728" s="46"/>
      <c r="F728" s="46"/>
      <c r="G728" s="46"/>
      <c r="H728" s="46"/>
      <c r="I728" s="46"/>
    </row>
    <row r="729">
      <c r="A729" s="49"/>
      <c r="B729" s="46"/>
      <c r="C729" s="46"/>
      <c r="D729" s="46"/>
      <c r="E729" s="46"/>
      <c r="F729" s="46"/>
      <c r="G729" s="46"/>
      <c r="H729" s="46"/>
      <c r="I729" s="46"/>
    </row>
    <row r="730">
      <c r="A730" s="49"/>
      <c r="B730" s="46"/>
      <c r="C730" s="46"/>
      <c r="D730" s="46"/>
      <c r="E730" s="46"/>
      <c r="F730" s="46"/>
      <c r="G730" s="46"/>
      <c r="H730" s="46"/>
      <c r="I730" s="46"/>
    </row>
    <row r="731">
      <c r="A731" s="49"/>
      <c r="B731" s="46"/>
      <c r="C731" s="46"/>
      <c r="D731" s="46"/>
      <c r="E731" s="46"/>
      <c r="F731" s="46"/>
      <c r="G731" s="46"/>
      <c r="H731" s="46"/>
      <c r="I731" s="46"/>
    </row>
    <row r="732">
      <c r="A732" s="49"/>
      <c r="B732" s="46"/>
      <c r="C732" s="46"/>
      <c r="D732" s="46"/>
      <c r="E732" s="46"/>
      <c r="F732" s="46"/>
      <c r="G732" s="46"/>
      <c r="H732" s="46"/>
      <c r="I732" s="46"/>
    </row>
    <row r="733">
      <c r="A733" s="49"/>
      <c r="B733" s="46"/>
      <c r="C733" s="46"/>
      <c r="D733" s="46"/>
      <c r="E733" s="46"/>
      <c r="F733" s="46"/>
      <c r="G733" s="46"/>
      <c r="H733" s="46"/>
      <c r="I733" s="46"/>
    </row>
    <row r="734">
      <c r="A734" s="49"/>
      <c r="B734" s="46"/>
      <c r="C734" s="46"/>
      <c r="D734" s="46"/>
      <c r="E734" s="46"/>
      <c r="F734" s="46"/>
      <c r="G734" s="46"/>
      <c r="H734" s="46"/>
      <c r="I734" s="46"/>
    </row>
    <row r="735">
      <c r="A735" s="49"/>
      <c r="B735" s="46"/>
      <c r="C735" s="46"/>
      <c r="D735" s="46"/>
      <c r="E735" s="46"/>
      <c r="F735" s="46"/>
      <c r="G735" s="46"/>
      <c r="H735" s="46"/>
      <c r="I735" s="46"/>
    </row>
    <row r="736">
      <c r="A736" s="49"/>
      <c r="B736" s="46"/>
      <c r="C736" s="46"/>
      <c r="D736" s="46"/>
      <c r="E736" s="46"/>
      <c r="F736" s="46"/>
      <c r="G736" s="46"/>
      <c r="H736" s="46"/>
      <c r="I736" s="46"/>
    </row>
    <row r="737">
      <c r="A737" s="49"/>
      <c r="B737" s="46"/>
      <c r="C737" s="46"/>
      <c r="D737" s="46"/>
      <c r="E737" s="46"/>
      <c r="F737" s="46"/>
      <c r="G737" s="46"/>
      <c r="H737" s="46"/>
      <c r="I737" s="46"/>
    </row>
    <row r="738">
      <c r="A738" s="49"/>
      <c r="B738" s="46"/>
      <c r="C738" s="46"/>
      <c r="D738" s="46"/>
      <c r="E738" s="46"/>
      <c r="F738" s="46"/>
      <c r="G738" s="46"/>
      <c r="H738" s="46"/>
      <c r="I738" s="46"/>
    </row>
    <row r="739">
      <c r="A739" s="49"/>
      <c r="B739" s="46"/>
      <c r="C739" s="46"/>
      <c r="D739" s="46"/>
      <c r="E739" s="46"/>
      <c r="F739" s="46"/>
      <c r="G739" s="46"/>
      <c r="H739" s="46"/>
      <c r="I739" s="46"/>
    </row>
    <row r="740">
      <c r="A740" s="49"/>
      <c r="B740" s="46"/>
      <c r="C740" s="46"/>
      <c r="D740" s="46"/>
      <c r="E740" s="46"/>
      <c r="F740" s="46"/>
      <c r="G740" s="46"/>
      <c r="H740" s="46"/>
      <c r="I740" s="46"/>
    </row>
    <row r="741">
      <c r="A741" s="49"/>
      <c r="B741" s="46"/>
      <c r="C741" s="46"/>
      <c r="D741" s="46"/>
      <c r="E741" s="46"/>
      <c r="F741" s="46"/>
      <c r="G741" s="46"/>
      <c r="H741" s="46"/>
      <c r="I741" s="46"/>
    </row>
    <row r="742">
      <c r="A742" s="49"/>
      <c r="B742" s="46"/>
      <c r="C742" s="46"/>
      <c r="D742" s="46"/>
      <c r="E742" s="46"/>
      <c r="F742" s="46"/>
      <c r="G742" s="46"/>
      <c r="H742" s="46"/>
      <c r="I742" s="46"/>
    </row>
    <row r="743">
      <c r="A743" s="49"/>
      <c r="B743" s="46"/>
      <c r="C743" s="46"/>
      <c r="D743" s="46"/>
      <c r="E743" s="46"/>
      <c r="F743" s="46"/>
      <c r="G743" s="46"/>
      <c r="H743" s="46"/>
      <c r="I743" s="46"/>
    </row>
    <row r="744">
      <c r="A744" s="49"/>
      <c r="B744" s="46"/>
      <c r="C744" s="46"/>
      <c r="D744" s="46"/>
      <c r="E744" s="46"/>
      <c r="F744" s="46"/>
      <c r="G744" s="46"/>
      <c r="H744" s="46"/>
      <c r="I744" s="46"/>
    </row>
    <row r="745">
      <c r="A745" s="49"/>
      <c r="B745" s="46"/>
      <c r="C745" s="46"/>
      <c r="D745" s="46"/>
      <c r="E745" s="46"/>
      <c r="F745" s="46"/>
      <c r="G745" s="46"/>
      <c r="H745" s="46"/>
      <c r="I745" s="46"/>
    </row>
    <row r="746">
      <c r="A746" s="49"/>
      <c r="B746" s="46"/>
      <c r="C746" s="46"/>
      <c r="D746" s="46"/>
      <c r="E746" s="46"/>
      <c r="F746" s="46"/>
      <c r="G746" s="46"/>
      <c r="H746" s="46"/>
      <c r="I746" s="46"/>
    </row>
    <row r="747">
      <c r="A747" s="49"/>
      <c r="B747" s="46"/>
      <c r="C747" s="46"/>
      <c r="D747" s="46"/>
      <c r="E747" s="46"/>
      <c r="F747" s="46"/>
      <c r="G747" s="46"/>
      <c r="H747" s="46"/>
      <c r="I747" s="46"/>
    </row>
    <row r="748">
      <c r="A748" s="49"/>
      <c r="B748" s="46"/>
      <c r="C748" s="46"/>
      <c r="D748" s="46"/>
      <c r="E748" s="46"/>
      <c r="F748" s="46"/>
      <c r="G748" s="46"/>
      <c r="H748" s="46"/>
      <c r="I748" s="46"/>
    </row>
    <row r="749">
      <c r="A749" s="49"/>
      <c r="B749" s="46"/>
      <c r="C749" s="46"/>
      <c r="D749" s="46"/>
      <c r="E749" s="46"/>
      <c r="F749" s="46"/>
      <c r="G749" s="46"/>
      <c r="H749" s="46"/>
      <c r="I749" s="46"/>
    </row>
    <row r="750">
      <c r="A750" s="49"/>
      <c r="B750" s="46"/>
      <c r="C750" s="46"/>
      <c r="D750" s="46"/>
      <c r="E750" s="46"/>
      <c r="F750" s="46"/>
      <c r="G750" s="46"/>
      <c r="H750" s="46"/>
      <c r="I750" s="46"/>
    </row>
    <row r="751">
      <c r="A751" s="49"/>
      <c r="B751" s="46"/>
      <c r="C751" s="46"/>
      <c r="D751" s="46"/>
      <c r="E751" s="46"/>
      <c r="F751" s="46"/>
      <c r="G751" s="46"/>
      <c r="H751" s="46"/>
      <c r="I751" s="46"/>
    </row>
    <row r="752">
      <c r="A752" s="49"/>
      <c r="B752" s="46"/>
      <c r="C752" s="46"/>
      <c r="D752" s="46"/>
      <c r="E752" s="46"/>
      <c r="F752" s="46"/>
      <c r="G752" s="46"/>
      <c r="H752" s="46"/>
      <c r="I752" s="46"/>
    </row>
    <row r="753">
      <c r="A753" s="49"/>
      <c r="B753" s="46"/>
      <c r="C753" s="46"/>
      <c r="D753" s="46"/>
      <c r="E753" s="46"/>
      <c r="F753" s="46"/>
      <c r="G753" s="46"/>
      <c r="H753" s="46"/>
      <c r="I753" s="46"/>
    </row>
    <row r="754">
      <c r="A754" s="49"/>
      <c r="B754" s="46"/>
      <c r="C754" s="46"/>
      <c r="D754" s="46"/>
      <c r="E754" s="46"/>
      <c r="F754" s="46"/>
      <c r="G754" s="46"/>
      <c r="H754" s="46"/>
      <c r="I754" s="46"/>
    </row>
    <row r="755">
      <c r="A755" s="49"/>
      <c r="B755" s="46"/>
      <c r="C755" s="46"/>
      <c r="D755" s="46"/>
      <c r="E755" s="46"/>
      <c r="F755" s="46"/>
      <c r="G755" s="46"/>
      <c r="H755" s="46"/>
      <c r="I755" s="46"/>
    </row>
    <row r="756">
      <c r="A756" s="49"/>
      <c r="B756" s="46"/>
      <c r="C756" s="46"/>
      <c r="D756" s="46"/>
      <c r="E756" s="46"/>
      <c r="F756" s="46"/>
      <c r="G756" s="46"/>
      <c r="H756" s="46"/>
      <c r="I756" s="46"/>
    </row>
    <row r="757">
      <c r="A757" s="49"/>
      <c r="B757" s="46"/>
      <c r="C757" s="46"/>
      <c r="D757" s="46"/>
      <c r="E757" s="46"/>
      <c r="F757" s="46"/>
      <c r="G757" s="46"/>
      <c r="H757" s="46"/>
      <c r="I757" s="46"/>
    </row>
    <row r="758">
      <c r="A758" s="49"/>
      <c r="B758" s="46"/>
      <c r="C758" s="46"/>
      <c r="D758" s="46"/>
      <c r="E758" s="46"/>
      <c r="F758" s="46"/>
      <c r="G758" s="46"/>
      <c r="H758" s="46"/>
      <c r="I758" s="46"/>
    </row>
    <row r="759">
      <c r="A759" s="49"/>
      <c r="B759" s="46"/>
      <c r="C759" s="46"/>
      <c r="D759" s="46"/>
      <c r="E759" s="46"/>
      <c r="F759" s="46"/>
      <c r="G759" s="46"/>
      <c r="H759" s="46"/>
      <c r="I759" s="46"/>
    </row>
    <row r="760">
      <c r="A760" s="49"/>
      <c r="B760" s="46"/>
      <c r="C760" s="46"/>
      <c r="D760" s="46"/>
      <c r="E760" s="46"/>
      <c r="F760" s="46"/>
      <c r="G760" s="46"/>
      <c r="H760" s="46"/>
      <c r="I760" s="46"/>
    </row>
    <row r="761">
      <c r="A761" s="49"/>
      <c r="B761" s="46"/>
      <c r="C761" s="46"/>
      <c r="D761" s="46"/>
      <c r="E761" s="46"/>
      <c r="F761" s="46"/>
      <c r="G761" s="46"/>
      <c r="H761" s="46"/>
      <c r="I761" s="46"/>
    </row>
    <row r="762">
      <c r="A762" s="49"/>
      <c r="B762" s="46"/>
      <c r="C762" s="46"/>
      <c r="D762" s="46"/>
      <c r="E762" s="46"/>
      <c r="F762" s="46"/>
      <c r="G762" s="46"/>
      <c r="H762" s="46"/>
      <c r="I762" s="46"/>
    </row>
    <row r="763">
      <c r="A763" s="49"/>
      <c r="B763" s="46"/>
      <c r="C763" s="46"/>
      <c r="D763" s="46"/>
      <c r="E763" s="46"/>
      <c r="F763" s="46"/>
      <c r="G763" s="46"/>
      <c r="H763" s="46"/>
      <c r="I763" s="46"/>
    </row>
    <row r="764">
      <c r="A764" s="49"/>
      <c r="B764" s="46"/>
      <c r="C764" s="46"/>
      <c r="D764" s="46"/>
      <c r="E764" s="46"/>
      <c r="F764" s="46"/>
      <c r="G764" s="46"/>
      <c r="H764" s="46"/>
      <c r="I764" s="46"/>
    </row>
    <row r="765">
      <c r="A765" s="49"/>
      <c r="B765" s="46"/>
      <c r="C765" s="46"/>
      <c r="D765" s="46"/>
      <c r="E765" s="46"/>
      <c r="F765" s="46"/>
      <c r="G765" s="46"/>
      <c r="H765" s="46"/>
      <c r="I765" s="46"/>
    </row>
    <row r="766">
      <c r="A766" s="49"/>
      <c r="B766" s="46"/>
      <c r="C766" s="46"/>
      <c r="D766" s="46"/>
      <c r="E766" s="46"/>
      <c r="F766" s="46"/>
      <c r="G766" s="46"/>
      <c r="H766" s="46"/>
      <c r="I766" s="46"/>
    </row>
    <row r="767">
      <c r="A767" s="49"/>
      <c r="B767" s="46"/>
      <c r="C767" s="46"/>
      <c r="D767" s="46"/>
      <c r="E767" s="46"/>
      <c r="F767" s="46"/>
      <c r="G767" s="46"/>
      <c r="H767" s="46"/>
      <c r="I767" s="46"/>
    </row>
    <row r="768">
      <c r="A768" s="49"/>
      <c r="B768" s="46"/>
      <c r="C768" s="46"/>
      <c r="D768" s="46"/>
      <c r="E768" s="46"/>
      <c r="F768" s="46"/>
      <c r="G768" s="46"/>
      <c r="H768" s="46"/>
      <c r="I768" s="46"/>
    </row>
    <row r="769">
      <c r="A769" s="49"/>
      <c r="B769" s="46"/>
      <c r="C769" s="46"/>
      <c r="D769" s="46"/>
      <c r="E769" s="46"/>
      <c r="F769" s="46"/>
      <c r="G769" s="46"/>
      <c r="H769" s="46"/>
      <c r="I769" s="46"/>
    </row>
    <row r="770">
      <c r="A770" s="49"/>
      <c r="B770" s="46"/>
      <c r="C770" s="46"/>
      <c r="D770" s="46"/>
      <c r="E770" s="46"/>
      <c r="F770" s="46"/>
      <c r="G770" s="46"/>
      <c r="H770" s="46"/>
      <c r="I770" s="46"/>
    </row>
    <row r="771">
      <c r="A771" s="49"/>
      <c r="B771" s="46"/>
      <c r="C771" s="46"/>
      <c r="D771" s="46"/>
      <c r="E771" s="46"/>
      <c r="F771" s="46"/>
      <c r="G771" s="46"/>
      <c r="H771" s="46"/>
      <c r="I771" s="46"/>
    </row>
    <row r="772">
      <c r="A772" s="49"/>
      <c r="B772" s="46"/>
      <c r="C772" s="46"/>
      <c r="D772" s="46"/>
      <c r="E772" s="46"/>
      <c r="F772" s="46"/>
      <c r="G772" s="46"/>
      <c r="H772" s="46"/>
      <c r="I772" s="46"/>
    </row>
    <row r="773">
      <c r="A773" s="49"/>
      <c r="B773" s="46"/>
      <c r="C773" s="46"/>
      <c r="D773" s="46"/>
      <c r="E773" s="46"/>
      <c r="F773" s="46"/>
      <c r="G773" s="46"/>
      <c r="H773" s="46"/>
      <c r="I773" s="46"/>
    </row>
    <row r="774">
      <c r="A774" s="49"/>
      <c r="B774" s="46"/>
      <c r="C774" s="46"/>
      <c r="D774" s="46"/>
      <c r="E774" s="46"/>
      <c r="F774" s="46"/>
      <c r="G774" s="46"/>
      <c r="H774" s="46"/>
      <c r="I774" s="46"/>
    </row>
    <row r="775">
      <c r="A775" s="49"/>
      <c r="B775" s="46"/>
      <c r="C775" s="46"/>
      <c r="D775" s="46"/>
      <c r="E775" s="46"/>
      <c r="F775" s="46"/>
      <c r="G775" s="46"/>
      <c r="H775" s="46"/>
      <c r="I775" s="46"/>
    </row>
    <row r="776">
      <c r="A776" s="49"/>
      <c r="B776" s="46"/>
      <c r="C776" s="46"/>
      <c r="D776" s="46"/>
      <c r="E776" s="46"/>
      <c r="F776" s="46"/>
      <c r="G776" s="46"/>
      <c r="H776" s="46"/>
      <c r="I776" s="46"/>
    </row>
    <row r="777">
      <c r="A777" s="49"/>
      <c r="B777" s="46"/>
      <c r="C777" s="46"/>
      <c r="D777" s="46"/>
      <c r="E777" s="46"/>
      <c r="F777" s="46"/>
      <c r="G777" s="46"/>
      <c r="H777" s="46"/>
      <c r="I777" s="46"/>
    </row>
    <row r="778">
      <c r="A778" s="49"/>
      <c r="B778" s="46"/>
      <c r="C778" s="46"/>
      <c r="D778" s="46"/>
      <c r="E778" s="46"/>
      <c r="F778" s="46"/>
      <c r="G778" s="46"/>
      <c r="H778" s="46"/>
      <c r="I778" s="46"/>
    </row>
    <row r="779">
      <c r="A779" s="49"/>
      <c r="B779" s="46"/>
      <c r="C779" s="46"/>
      <c r="D779" s="46"/>
      <c r="E779" s="46"/>
      <c r="F779" s="46"/>
      <c r="G779" s="46"/>
      <c r="H779" s="46"/>
      <c r="I779" s="46"/>
    </row>
    <row r="780">
      <c r="A780" s="49"/>
      <c r="B780" s="46"/>
      <c r="C780" s="46"/>
      <c r="D780" s="46"/>
      <c r="E780" s="46"/>
      <c r="F780" s="46"/>
      <c r="G780" s="46"/>
      <c r="H780" s="46"/>
      <c r="I780" s="46"/>
    </row>
    <row r="781">
      <c r="A781" s="49"/>
      <c r="B781" s="46"/>
      <c r="C781" s="46"/>
      <c r="D781" s="46"/>
      <c r="E781" s="46"/>
      <c r="F781" s="46"/>
      <c r="G781" s="46"/>
      <c r="H781" s="46"/>
      <c r="I781" s="46"/>
    </row>
    <row r="782">
      <c r="A782" s="49"/>
      <c r="B782" s="46"/>
      <c r="C782" s="46"/>
      <c r="D782" s="46"/>
      <c r="E782" s="46"/>
      <c r="F782" s="46"/>
      <c r="G782" s="46"/>
      <c r="H782" s="46"/>
      <c r="I782" s="46"/>
    </row>
    <row r="783">
      <c r="A783" s="49"/>
      <c r="B783" s="46"/>
      <c r="C783" s="46"/>
      <c r="D783" s="46"/>
      <c r="E783" s="46"/>
      <c r="F783" s="46"/>
      <c r="G783" s="46"/>
      <c r="H783" s="46"/>
      <c r="I783" s="46"/>
    </row>
    <row r="784">
      <c r="A784" s="49"/>
      <c r="B784" s="46"/>
      <c r="C784" s="46"/>
      <c r="D784" s="46"/>
      <c r="E784" s="46"/>
      <c r="F784" s="46"/>
      <c r="G784" s="46"/>
      <c r="H784" s="46"/>
      <c r="I784" s="46"/>
    </row>
    <row r="785">
      <c r="A785" s="49"/>
      <c r="B785" s="46"/>
      <c r="C785" s="46"/>
      <c r="D785" s="46"/>
      <c r="E785" s="46"/>
      <c r="F785" s="46"/>
      <c r="G785" s="46"/>
      <c r="H785" s="46"/>
      <c r="I785" s="46"/>
    </row>
    <row r="786">
      <c r="A786" s="49"/>
      <c r="B786" s="46"/>
      <c r="C786" s="46"/>
      <c r="D786" s="46"/>
      <c r="E786" s="46"/>
      <c r="F786" s="46"/>
      <c r="G786" s="46"/>
      <c r="H786" s="46"/>
      <c r="I786" s="46"/>
    </row>
    <row r="787">
      <c r="A787" s="49"/>
      <c r="B787" s="46"/>
      <c r="C787" s="46"/>
      <c r="D787" s="46"/>
      <c r="E787" s="46"/>
      <c r="F787" s="46"/>
      <c r="G787" s="46"/>
      <c r="H787" s="46"/>
      <c r="I787" s="46"/>
    </row>
    <row r="788">
      <c r="A788" s="49"/>
      <c r="B788" s="46"/>
      <c r="C788" s="46"/>
      <c r="D788" s="46"/>
      <c r="E788" s="46"/>
      <c r="F788" s="46"/>
      <c r="G788" s="46"/>
      <c r="H788" s="46"/>
      <c r="I788" s="46"/>
    </row>
    <row r="789">
      <c r="A789" s="49"/>
      <c r="B789" s="46"/>
      <c r="C789" s="46"/>
      <c r="D789" s="46"/>
      <c r="E789" s="46"/>
      <c r="F789" s="46"/>
      <c r="G789" s="46"/>
      <c r="H789" s="46"/>
      <c r="I789" s="46"/>
    </row>
    <row r="790">
      <c r="A790" s="49"/>
      <c r="B790" s="46"/>
      <c r="C790" s="46"/>
      <c r="D790" s="46"/>
      <c r="E790" s="46"/>
      <c r="F790" s="46"/>
      <c r="G790" s="46"/>
      <c r="H790" s="46"/>
      <c r="I790" s="46"/>
    </row>
    <row r="791">
      <c r="A791" s="49"/>
      <c r="B791" s="46"/>
      <c r="C791" s="46"/>
      <c r="D791" s="46"/>
      <c r="E791" s="46"/>
      <c r="F791" s="46"/>
      <c r="G791" s="46"/>
      <c r="H791" s="46"/>
      <c r="I791" s="46"/>
    </row>
    <row r="792">
      <c r="A792" s="49"/>
      <c r="B792" s="46"/>
      <c r="C792" s="46"/>
      <c r="D792" s="46"/>
      <c r="E792" s="46"/>
      <c r="F792" s="46"/>
      <c r="G792" s="46"/>
      <c r="H792" s="46"/>
      <c r="I792" s="46"/>
    </row>
    <row r="793">
      <c r="A793" s="49"/>
      <c r="B793" s="46"/>
      <c r="C793" s="46"/>
      <c r="D793" s="46"/>
      <c r="E793" s="46"/>
      <c r="F793" s="46"/>
      <c r="G793" s="46"/>
      <c r="H793" s="46"/>
      <c r="I793" s="46"/>
    </row>
    <row r="794">
      <c r="A794" s="49"/>
      <c r="B794" s="46"/>
      <c r="C794" s="46"/>
      <c r="D794" s="46"/>
      <c r="E794" s="46"/>
      <c r="F794" s="46"/>
      <c r="G794" s="46"/>
      <c r="H794" s="46"/>
      <c r="I794" s="46"/>
    </row>
    <row r="795">
      <c r="A795" s="49"/>
      <c r="B795" s="46"/>
      <c r="C795" s="46"/>
      <c r="D795" s="46"/>
      <c r="E795" s="46"/>
      <c r="F795" s="46"/>
      <c r="G795" s="46"/>
      <c r="H795" s="46"/>
      <c r="I795" s="46"/>
    </row>
    <row r="796">
      <c r="A796" s="49"/>
      <c r="B796" s="46"/>
      <c r="C796" s="46"/>
      <c r="D796" s="46"/>
      <c r="E796" s="46"/>
      <c r="F796" s="46"/>
      <c r="G796" s="46"/>
      <c r="H796" s="46"/>
      <c r="I796" s="46"/>
    </row>
    <row r="797">
      <c r="A797" s="49"/>
      <c r="B797" s="46"/>
      <c r="C797" s="46"/>
      <c r="D797" s="46"/>
      <c r="E797" s="46"/>
      <c r="F797" s="46"/>
      <c r="G797" s="46"/>
      <c r="H797" s="46"/>
      <c r="I797" s="46"/>
    </row>
    <row r="798">
      <c r="A798" s="49"/>
      <c r="B798" s="46"/>
      <c r="C798" s="46"/>
      <c r="D798" s="46"/>
      <c r="E798" s="46"/>
      <c r="F798" s="46"/>
      <c r="G798" s="46"/>
      <c r="H798" s="46"/>
      <c r="I798" s="46"/>
    </row>
    <row r="799">
      <c r="A799" s="49"/>
      <c r="B799" s="46"/>
      <c r="C799" s="46"/>
      <c r="D799" s="46"/>
      <c r="E799" s="46"/>
      <c r="F799" s="46"/>
      <c r="G799" s="46"/>
      <c r="H799" s="46"/>
      <c r="I799" s="46"/>
    </row>
    <row r="800">
      <c r="A800" s="49"/>
      <c r="B800" s="46"/>
      <c r="C800" s="46"/>
      <c r="D800" s="46"/>
      <c r="E800" s="46"/>
      <c r="F800" s="46"/>
      <c r="G800" s="46"/>
      <c r="H800" s="46"/>
      <c r="I800" s="46"/>
    </row>
    <row r="801">
      <c r="A801" s="49"/>
      <c r="B801" s="46"/>
      <c r="C801" s="46"/>
      <c r="D801" s="46"/>
      <c r="E801" s="46"/>
      <c r="F801" s="46"/>
      <c r="G801" s="46"/>
      <c r="H801" s="46"/>
      <c r="I801" s="46"/>
    </row>
    <row r="802">
      <c r="A802" s="49"/>
      <c r="B802" s="46"/>
      <c r="C802" s="46"/>
      <c r="D802" s="46"/>
      <c r="E802" s="46"/>
      <c r="F802" s="46"/>
      <c r="G802" s="46"/>
      <c r="H802" s="46"/>
      <c r="I802" s="46"/>
    </row>
    <row r="803">
      <c r="A803" s="49"/>
      <c r="B803" s="46"/>
      <c r="C803" s="46"/>
      <c r="D803" s="46"/>
      <c r="E803" s="46"/>
      <c r="F803" s="46"/>
      <c r="G803" s="46"/>
      <c r="H803" s="46"/>
      <c r="I803" s="46"/>
    </row>
    <row r="804">
      <c r="A804" s="49"/>
      <c r="B804" s="46"/>
      <c r="C804" s="46"/>
      <c r="D804" s="46"/>
      <c r="E804" s="46"/>
      <c r="F804" s="46"/>
      <c r="G804" s="46"/>
      <c r="H804" s="46"/>
      <c r="I804" s="46"/>
    </row>
    <row r="805">
      <c r="A805" s="49"/>
      <c r="B805" s="46"/>
      <c r="C805" s="46"/>
      <c r="D805" s="46"/>
      <c r="E805" s="46"/>
      <c r="F805" s="46"/>
      <c r="G805" s="46"/>
      <c r="H805" s="46"/>
      <c r="I805" s="46"/>
    </row>
    <row r="806">
      <c r="A806" s="49"/>
      <c r="B806" s="46"/>
      <c r="C806" s="46"/>
      <c r="D806" s="46"/>
      <c r="E806" s="46"/>
      <c r="F806" s="46"/>
      <c r="G806" s="46"/>
      <c r="H806" s="46"/>
      <c r="I806" s="46"/>
    </row>
    <row r="807">
      <c r="A807" s="49"/>
      <c r="B807" s="46"/>
      <c r="C807" s="46"/>
      <c r="D807" s="46"/>
      <c r="E807" s="46"/>
      <c r="F807" s="46"/>
      <c r="G807" s="46"/>
      <c r="H807" s="46"/>
      <c r="I807" s="46"/>
    </row>
    <row r="808">
      <c r="A808" s="49"/>
      <c r="B808" s="46"/>
      <c r="C808" s="46"/>
      <c r="D808" s="46"/>
      <c r="E808" s="46"/>
      <c r="F808" s="46"/>
      <c r="G808" s="46"/>
      <c r="H808" s="46"/>
      <c r="I808" s="46"/>
    </row>
    <row r="809">
      <c r="A809" s="49"/>
      <c r="B809" s="46"/>
      <c r="C809" s="46"/>
      <c r="D809" s="46"/>
      <c r="E809" s="46"/>
      <c r="F809" s="46"/>
      <c r="G809" s="46"/>
      <c r="H809" s="46"/>
      <c r="I809" s="46"/>
    </row>
    <row r="810">
      <c r="A810" s="49"/>
      <c r="B810" s="46"/>
      <c r="C810" s="46"/>
      <c r="D810" s="46"/>
      <c r="E810" s="46"/>
      <c r="F810" s="46"/>
      <c r="G810" s="46"/>
      <c r="H810" s="46"/>
      <c r="I810" s="46"/>
    </row>
    <row r="811">
      <c r="A811" s="49"/>
      <c r="B811" s="46"/>
      <c r="C811" s="46"/>
      <c r="D811" s="46"/>
      <c r="E811" s="46"/>
      <c r="F811" s="46"/>
      <c r="G811" s="46"/>
      <c r="H811" s="46"/>
      <c r="I811" s="46"/>
    </row>
    <row r="812">
      <c r="A812" s="49"/>
      <c r="B812" s="46"/>
      <c r="C812" s="46"/>
      <c r="D812" s="46"/>
      <c r="E812" s="46"/>
      <c r="F812" s="46"/>
      <c r="G812" s="46"/>
      <c r="H812" s="46"/>
      <c r="I812" s="46"/>
    </row>
    <row r="813">
      <c r="A813" s="49"/>
      <c r="B813" s="46"/>
      <c r="C813" s="46"/>
      <c r="D813" s="46"/>
      <c r="E813" s="46"/>
      <c r="F813" s="46"/>
      <c r="G813" s="46"/>
      <c r="H813" s="46"/>
      <c r="I813" s="46"/>
    </row>
    <row r="814">
      <c r="A814" s="49"/>
      <c r="B814" s="46"/>
      <c r="C814" s="46"/>
      <c r="D814" s="46"/>
      <c r="E814" s="46"/>
      <c r="F814" s="46"/>
      <c r="G814" s="46"/>
      <c r="H814" s="46"/>
      <c r="I814" s="46"/>
    </row>
    <row r="815">
      <c r="A815" s="49"/>
      <c r="B815" s="46"/>
      <c r="C815" s="46"/>
      <c r="D815" s="46"/>
      <c r="E815" s="46"/>
      <c r="F815" s="46"/>
      <c r="G815" s="46"/>
      <c r="H815" s="46"/>
      <c r="I815" s="46"/>
    </row>
    <row r="816">
      <c r="A816" s="49"/>
      <c r="B816" s="46"/>
      <c r="C816" s="46"/>
      <c r="D816" s="46"/>
      <c r="E816" s="46"/>
      <c r="F816" s="46"/>
      <c r="G816" s="46"/>
      <c r="H816" s="46"/>
      <c r="I816" s="46"/>
    </row>
    <row r="817">
      <c r="A817" s="49"/>
      <c r="B817" s="46"/>
      <c r="C817" s="46"/>
      <c r="D817" s="46"/>
      <c r="E817" s="46"/>
      <c r="F817" s="46"/>
      <c r="G817" s="46"/>
      <c r="H817" s="46"/>
      <c r="I817" s="46"/>
    </row>
    <row r="818">
      <c r="A818" s="49"/>
      <c r="B818" s="46"/>
      <c r="C818" s="46"/>
      <c r="D818" s="46"/>
      <c r="E818" s="46"/>
      <c r="F818" s="46"/>
      <c r="G818" s="46"/>
      <c r="H818" s="46"/>
      <c r="I818" s="46"/>
    </row>
    <row r="819">
      <c r="A819" s="49"/>
      <c r="B819" s="46"/>
      <c r="C819" s="46"/>
      <c r="D819" s="46"/>
      <c r="E819" s="46"/>
      <c r="F819" s="46"/>
      <c r="G819" s="46"/>
      <c r="H819" s="46"/>
      <c r="I819" s="46"/>
    </row>
    <row r="820">
      <c r="A820" s="49"/>
      <c r="B820" s="46"/>
      <c r="C820" s="46"/>
      <c r="D820" s="46"/>
      <c r="E820" s="46"/>
      <c r="F820" s="46"/>
      <c r="G820" s="46"/>
      <c r="H820" s="46"/>
      <c r="I820" s="46"/>
    </row>
    <row r="821">
      <c r="A821" s="49"/>
      <c r="B821" s="46"/>
      <c r="C821" s="46"/>
      <c r="D821" s="46"/>
      <c r="E821" s="46"/>
      <c r="F821" s="46"/>
      <c r="G821" s="46"/>
      <c r="H821" s="46"/>
      <c r="I821" s="46"/>
    </row>
    <row r="822">
      <c r="A822" s="49"/>
      <c r="B822" s="46"/>
      <c r="C822" s="46"/>
      <c r="D822" s="46"/>
      <c r="E822" s="46"/>
      <c r="F822" s="46"/>
      <c r="G822" s="46"/>
      <c r="H822" s="46"/>
      <c r="I822" s="46"/>
    </row>
    <row r="823">
      <c r="A823" s="49"/>
      <c r="B823" s="46"/>
      <c r="C823" s="46"/>
      <c r="D823" s="46"/>
      <c r="E823" s="46"/>
      <c r="F823" s="46"/>
      <c r="G823" s="46"/>
      <c r="H823" s="46"/>
      <c r="I823" s="46"/>
    </row>
    <row r="824">
      <c r="A824" s="49"/>
      <c r="B824" s="46"/>
      <c r="C824" s="46"/>
      <c r="D824" s="46"/>
      <c r="E824" s="46"/>
      <c r="F824" s="46"/>
      <c r="G824" s="46"/>
      <c r="H824" s="46"/>
      <c r="I824" s="46"/>
    </row>
    <row r="825">
      <c r="A825" s="49"/>
      <c r="B825" s="46"/>
      <c r="C825" s="46"/>
      <c r="D825" s="46"/>
      <c r="E825" s="46"/>
      <c r="F825" s="46"/>
      <c r="G825" s="46"/>
      <c r="H825" s="46"/>
      <c r="I825" s="46"/>
    </row>
    <row r="826">
      <c r="A826" s="49"/>
      <c r="B826" s="46"/>
      <c r="C826" s="46"/>
      <c r="D826" s="46"/>
      <c r="E826" s="46"/>
      <c r="F826" s="46"/>
      <c r="G826" s="46"/>
      <c r="H826" s="46"/>
      <c r="I826" s="46"/>
    </row>
    <row r="827">
      <c r="A827" s="49"/>
      <c r="B827" s="46"/>
      <c r="C827" s="46"/>
      <c r="D827" s="46"/>
      <c r="E827" s="46"/>
      <c r="F827" s="46"/>
      <c r="G827" s="46"/>
      <c r="H827" s="46"/>
      <c r="I827" s="46"/>
    </row>
    <row r="828">
      <c r="A828" s="49"/>
      <c r="B828" s="46"/>
      <c r="C828" s="46"/>
      <c r="D828" s="46"/>
      <c r="E828" s="46"/>
      <c r="F828" s="46"/>
      <c r="G828" s="46"/>
      <c r="H828" s="46"/>
      <c r="I828" s="46"/>
    </row>
    <row r="829">
      <c r="A829" s="49"/>
      <c r="B829" s="46"/>
      <c r="C829" s="46"/>
      <c r="D829" s="46"/>
      <c r="E829" s="46"/>
      <c r="F829" s="46"/>
      <c r="G829" s="46"/>
      <c r="H829" s="46"/>
      <c r="I829" s="46"/>
    </row>
    <row r="830">
      <c r="A830" s="49"/>
      <c r="B830" s="46"/>
      <c r="C830" s="46"/>
      <c r="D830" s="46"/>
      <c r="E830" s="46"/>
      <c r="F830" s="46"/>
      <c r="G830" s="46"/>
      <c r="H830" s="46"/>
      <c r="I830" s="46"/>
    </row>
    <row r="831">
      <c r="A831" s="49"/>
      <c r="B831" s="46"/>
      <c r="C831" s="46"/>
      <c r="D831" s="46"/>
      <c r="E831" s="46"/>
      <c r="F831" s="46"/>
      <c r="G831" s="46"/>
      <c r="H831" s="46"/>
      <c r="I831" s="46"/>
    </row>
    <row r="832">
      <c r="A832" s="49"/>
      <c r="B832" s="46"/>
      <c r="C832" s="46"/>
      <c r="D832" s="46"/>
      <c r="E832" s="46"/>
      <c r="F832" s="46"/>
      <c r="G832" s="46"/>
      <c r="H832" s="46"/>
      <c r="I832" s="46"/>
    </row>
    <row r="833">
      <c r="A833" s="49"/>
      <c r="B833" s="46"/>
      <c r="C833" s="46"/>
      <c r="D833" s="46"/>
      <c r="E833" s="46"/>
      <c r="F833" s="46"/>
      <c r="G833" s="46"/>
      <c r="H833" s="46"/>
      <c r="I833" s="46"/>
    </row>
    <row r="834">
      <c r="A834" s="49"/>
      <c r="B834" s="46"/>
      <c r="C834" s="46"/>
      <c r="D834" s="46"/>
      <c r="E834" s="46"/>
      <c r="F834" s="46"/>
      <c r="G834" s="46"/>
      <c r="H834" s="46"/>
      <c r="I834" s="46"/>
    </row>
    <row r="835">
      <c r="A835" s="49"/>
      <c r="B835" s="46"/>
      <c r="C835" s="46"/>
      <c r="D835" s="46"/>
      <c r="E835" s="46"/>
      <c r="F835" s="46"/>
      <c r="G835" s="46"/>
      <c r="H835" s="46"/>
      <c r="I835" s="46"/>
    </row>
    <row r="836">
      <c r="A836" s="49"/>
      <c r="B836" s="46"/>
      <c r="C836" s="46"/>
      <c r="D836" s="46"/>
      <c r="E836" s="46"/>
      <c r="F836" s="46"/>
      <c r="G836" s="46"/>
      <c r="H836" s="46"/>
      <c r="I836" s="46"/>
    </row>
    <row r="837">
      <c r="A837" s="49"/>
      <c r="B837" s="46"/>
      <c r="C837" s="46"/>
      <c r="D837" s="46"/>
      <c r="E837" s="46"/>
      <c r="F837" s="46"/>
      <c r="G837" s="46"/>
      <c r="H837" s="46"/>
      <c r="I837" s="46"/>
    </row>
    <row r="838">
      <c r="A838" s="49"/>
      <c r="B838" s="46"/>
      <c r="C838" s="46"/>
      <c r="D838" s="46"/>
      <c r="E838" s="46"/>
      <c r="F838" s="46"/>
      <c r="G838" s="46"/>
      <c r="H838" s="46"/>
      <c r="I838" s="46"/>
    </row>
    <row r="839">
      <c r="A839" s="49"/>
      <c r="B839" s="46"/>
      <c r="C839" s="46"/>
      <c r="D839" s="46"/>
      <c r="E839" s="46"/>
      <c r="F839" s="46"/>
      <c r="G839" s="46"/>
      <c r="H839" s="46"/>
      <c r="I839" s="46"/>
    </row>
    <row r="840">
      <c r="A840" s="49"/>
      <c r="B840" s="46"/>
      <c r="C840" s="46"/>
      <c r="D840" s="46"/>
      <c r="E840" s="46"/>
      <c r="F840" s="46"/>
      <c r="G840" s="46"/>
      <c r="H840" s="46"/>
      <c r="I840" s="46"/>
    </row>
    <row r="841">
      <c r="A841" s="49"/>
      <c r="B841" s="46"/>
      <c r="C841" s="46"/>
      <c r="D841" s="46"/>
      <c r="E841" s="46"/>
      <c r="F841" s="46"/>
      <c r="G841" s="46"/>
      <c r="H841" s="46"/>
      <c r="I841" s="46"/>
    </row>
    <row r="842">
      <c r="A842" s="49"/>
      <c r="B842" s="46"/>
      <c r="C842" s="46"/>
      <c r="D842" s="46"/>
      <c r="E842" s="46"/>
      <c r="F842" s="46"/>
      <c r="G842" s="46"/>
      <c r="H842" s="46"/>
      <c r="I842" s="46"/>
    </row>
    <row r="843">
      <c r="A843" s="49"/>
      <c r="B843" s="46"/>
      <c r="C843" s="46"/>
      <c r="D843" s="46"/>
      <c r="E843" s="46"/>
      <c r="F843" s="46"/>
      <c r="G843" s="46"/>
      <c r="H843" s="46"/>
      <c r="I843" s="46"/>
    </row>
    <row r="844">
      <c r="A844" s="49"/>
      <c r="B844" s="46"/>
      <c r="C844" s="46"/>
      <c r="D844" s="46"/>
      <c r="E844" s="46"/>
      <c r="F844" s="46"/>
      <c r="G844" s="46"/>
      <c r="H844" s="46"/>
      <c r="I844" s="46"/>
    </row>
    <row r="845">
      <c r="A845" s="49"/>
      <c r="B845" s="46"/>
      <c r="C845" s="46"/>
      <c r="D845" s="46"/>
      <c r="E845" s="46"/>
      <c r="F845" s="46"/>
      <c r="G845" s="46"/>
      <c r="H845" s="46"/>
      <c r="I845" s="46"/>
    </row>
    <row r="846">
      <c r="A846" s="49"/>
      <c r="B846" s="46"/>
      <c r="C846" s="46"/>
      <c r="D846" s="46"/>
      <c r="E846" s="46"/>
      <c r="F846" s="46"/>
      <c r="G846" s="46"/>
      <c r="H846" s="46"/>
      <c r="I846" s="46"/>
    </row>
    <row r="847">
      <c r="A847" s="49"/>
      <c r="B847" s="46"/>
      <c r="C847" s="46"/>
      <c r="D847" s="46"/>
      <c r="E847" s="46"/>
      <c r="F847" s="46"/>
      <c r="G847" s="46"/>
      <c r="H847" s="46"/>
      <c r="I847" s="46"/>
    </row>
    <row r="848">
      <c r="A848" s="49"/>
      <c r="B848" s="46"/>
      <c r="C848" s="46"/>
      <c r="D848" s="46"/>
      <c r="E848" s="46"/>
      <c r="F848" s="46"/>
      <c r="G848" s="46"/>
      <c r="H848" s="46"/>
      <c r="I848" s="46"/>
    </row>
    <row r="849">
      <c r="A849" s="49"/>
      <c r="B849" s="46"/>
      <c r="C849" s="46"/>
      <c r="D849" s="46"/>
      <c r="E849" s="46"/>
      <c r="F849" s="46"/>
      <c r="G849" s="46"/>
      <c r="H849" s="46"/>
      <c r="I849" s="46"/>
    </row>
    <row r="850">
      <c r="A850" s="49"/>
      <c r="B850" s="46"/>
      <c r="C850" s="46"/>
      <c r="D850" s="46"/>
      <c r="E850" s="46"/>
      <c r="F850" s="46"/>
      <c r="G850" s="46"/>
      <c r="H850" s="46"/>
      <c r="I850" s="46"/>
    </row>
    <row r="851">
      <c r="A851" s="49"/>
      <c r="B851" s="46"/>
      <c r="C851" s="46"/>
      <c r="D851" s="46"/>
      <c r="E851" s="46"/>
      <c r="F851" s="46"/>
      <c r="G851" s="46"/>
      <c r="H851" s="46"/>
      <c r="I851" s="46"/>
    </row>
    <row r="852">
      <c r="A852" s="49"/>
      <c r="B852" s="46"/>
      <c r="C852" s="46"/>
      <c r="D852" s="46"/>
      <c r="E852" s="46"/>
      <c r="F852" s="46"/>
      <c r="G852" s="46"/>
      <c r="H852" s="46"/>
      <c r="I852" s="46"/>
    </row>
    <row r="853">
      <c r="A853" s="49"/>
      <c r="B853" s="46"/>
      <c r="C853" s="46"/>
      <c r="D853" s="46"/>
      <c r="E853" s="46"/>
      <c r="F853" s="46"/>
      <c r="G853" s="46"/>
      <c r="H853" s="46"/>
      <c r="I853" s="46"/>
    </row>
    <row r="854">
      <c r="A854" s="49"/>
      <c r="B854" s="46"/>
      <c r="C854" s="46"/>
      <c r="D854" s="46"/>
      <c r="E854" s="46"/>
      <c r="F854" s="46"/>
      <c r="G854" s="46"/>
      <c r="H854" s="46"/>
      <c r="I854" s="46"/>
    </row>
    <row r="855">
      <c r="A855" s="49"/>
      <c r="B855" s="46"/>
      <c r="C855" s="46"/>
      <c r="D855" s="46"/>
      <c r="E855" s="46"/>
      <c r="F855" s="46"/>
      <c r="G855" s="46"/>
      <c r="H855" s="46"/>
      <c r="I855" s="46"/>
    </row>
    <row r="856">
      <c r="A856" s="49"/>
      <c r="B856" s="46"/>
      <c r="C856" s="46"/>
      <c r="D856" s="46"/>
      <c r="E856" s="46"/>
      <c r="F856" s="46"/>
      <c r="G856" s="46"/>
      <c r="H856" s="46"/>
      <c r="I856" s="46"/>
    </row>
    <row r="857">
      <c r="A857" s="49"/>
      <c r="B857" s="46"/>
      <c r="C857" s="46"/>
      <c r="D857" s="46"/>
      <c r="E857" s="46"/>
      <c r="F857" s="46"/>
      <c r="G857" s="46"/>
      <c r="H857" s="46"/>
      <c r="I857" s="46"/>
    </row>
    <row r="858">
      <c r="A858" s="49"/>
      <c r="B858" s="46"/>
      <c r="C858" s="46"/>
      <c r="D858" s="46"/>
      <c r="E858" s="46"/>
      <c r="F858" s="46"/>
      <c r="G858" s="46"/>
      <c r="H858" s="46"/>
      <c r="I858" s="46"/>
    </row>
    <row r="859">
      <c r="A859" s="49"/>
      <c r="B859" s="46"/>
      <c r="C859" s="46"/>
      <c r="D859" s="46"/>
      <c r="E859" s="46"/>
      <c r="F859" s="46"/>
      <c r="G859" s="46"/>
      <c r="H859" s="46"/>
      <c r="I859" s="46"/>
    </row>
    <row r="860">
      <c r="A860" s="49"/>
      <c r="B860" s="46"/>
      <c r="C860" s="46"/>
      <c r="D860" s="46"/>
      <c r="E860" s="46"/>
      <c r="F860" s="46"/>
      <c r="G860" s="46"/>
      <c r="H860" s="46"/>
      <c r="I860" s="46"/>
    </row>
    <row r="861">
      <c r="A861" s="49"/>
      <c r="B861" s="46"/>
      <c r="C861" s="46"/>
      <c r="D861" s="46"/>
      <c r="E861" s="46"/>
      <c r="F861" s="46"/>
      <c r="G861" s="46"/>
      <c r="H861" s="46"/>
      <c r="I861" s="46"/>
    </row>
    <row r="862">
      <c r="A862" s="49"/>
      <c r="B862" s="46"/>
      <c r="C862" s="46"/>
      <c r="D862" s="46"/>
      <c r="E862" s="46"/>
      <c r="F862" s="46"/>
      <c r="G862" s="46"/>
      <c r="H862" s="46"/>
      <c r="I862" s="46"/>
    </row>
    <row r="863">
      <c r="A863" s="49"/>
      <c r="B863" s="46"/>
      <c r="C863" s="46"/>
      <c r="D863" s="46"/>
      <c r="E863" s="46"/>
      <c r="F863" s="46"/>
      <c r="G863" s="46"/>
      <c r="H863" s="46"/>
      <c r="I863" s="46"/>
    </row>
    <row r="864">
      <c r="A864" s="49"/>
      <c r="B864" s="46"/>
      <c r="C864" s="46"/>
      <c r="D864" s="46"/>
      <c r="E864" s="46"/>
      <c r="F864" s="46"/>
      <c r="G864" s="46"/>
      <c r="H864" s="46"/>
      <c r="I864" s="46"/>
    </row>
    <row r="865">
      <c r="A865" s="49"/>
      <c r="B865" s="46"/>
      <c r="C865" s="46"/>
      <c r="D865" s="46"/>
      <c r="E865" s="46"/>
      <c r="F865" s="46"/>
      <c r="G865" s="46"/>
      <c r="H865" s="46"/>
      <c r="I865" s="46"/>
    </row>
    <row r="866">
      <c r="A866" s="49"/>
      <c r="B866" s="46"/>
      <c r="C866" s="46"/>
      <c r="D866" s="46"/>
      <c r="E866" s="46"/>
      <c r="F866" s="46"/>
      <c r="G866" s="46"/>
      <c r="H866" s="46"/>
      <c r="I866" s="46"/>
    </row>
    <row r="867">
      <c r="A867" s="49"/>
      <c r="B867" s="46"/>
      <c r="C867" s="46"/>
      <c r="D867" s="46"/>
      <c r="E867" s="46"/>
      <c r="F867" s="46"/>
      <c r="G867" s="46"/>
      <c r="H867" s="46"/>
      <c r="I867" s="46"/>
    </row>
    <row r="868">
      <c r="A868" s="49"/>
      <c r="B868" s="46"/>
      <c r="C868" s="46"/>
      <c r="D868" s="46"/>
      <c r="E868" s="46"/>
      <c r="F868" s="46"/>
      <c r="G868" s="46"/>
      <c r="H868" s="46"/>
      <c r="I868" s="46"/>
    </row>
    <row r="869">
      <c r="A869" s="49"/>
      <c r="B869" s="46"/>
      <c r="C869" s="46"/>
      <c r="D869" s="46"/>
      <c r="E869" s="46"/>
      <c r="F869" s="46"/>
      <c r="G869" s="46"/>
      <c r="H869" s="46"/>
      <c r="I869" s="46"/>
    </row>
    <row r="870">
      <c r="A870" s="49"/>
      <c r="B870" s="46"/>
      <c r="C870" s="46"/>
      <c r="D870" s="46"/>
      <c r="E870" s="46"/>
      <c r="F870" s="46"/>
      <c r="G870" s="46"/>
      <c r="H870" s="46"/>
      <c r="I870" s="46"/>
    </row>
    <row r="871">
      <c r="A871" s="49"/>
      <c r="B871" s="46"/>
      <c r="C871" s="46"/>
      <c r="D871" s="46"/>
      <c r="E871" s="46"/>
      <c r="F871" s="46"/>
      <c r="G871" s="46"/>
      <c r="H871" s="46"/>
      <c r="I871" s="46"/>
    </row>
    <row r="872">
      <c r="A872" s="49"/>
      <c r="B872" s="46"/>
      <c r="C872" s="46"/>
      <c r="D872" s="46"/>
      <c r="E872" s="46"/>
      <c r="F872" s="46"/>
      <c r="G872" s="46"/>
      <c r="H872" s="46"/>
      <c r="I872" s="46"/>
    </row>
    <row r="873">
      <c r="A873" s="49"/>
      <c r="B873" s="46"/>
      <c r="C873" s="46"/>
      <c r="D873" s="46"/>
      <c r="E873" s="46"/>
      <c r="F873" s="46"/>
      <c r="G873" s="46"/>
      <c r="H873" s="46"/>
      <c r="I873" s="46"/>
    </row>
    <row r="874">
      <c r="A874" s="49"/>
      <c r="B874" s="46"/>
      <c r="C874" s="46"/>
      <c r="D874" s="46"/>
      <c r="E874" s="46"/>
      <c r="F874" s="46"/>
      <c r="G874" s="46"/>
      <c r="H874" s="46"/>
      <c r="I874" s="46"/>
    </row>
    <row r="875">
      <c r="A875" s="49"/>
      <c r="B875" s="46"/>
      <c r="C875" s="46"/>
      <c r="D875" s="46"/>
      <c r="E875" s="46"/>
      <c r="F875" s="46"/>
      <c r="G875" s="46"/>
      <c r="H875" s="46"/>
      <c r="I875" s="46"/>
    </row>
    <row r="876">
      <c r="A876" s="49"/>
      <c r="B876" s="46"/>
      <c r="C876" s="46"/>
      <c r="D876" s="46"/>
      <c r="E876" s="46"/>
      <c r="F876" s="46"/>
      <c r="G876" s="46"/>
      <c r="H876" s="46"/>
      <c r="I876" s="46"/>
    </row>
    <row r="877">
      <c r="A877" s="49"/>
      <c r="B877" s="46"/>
      <c r="C877" s="46"/>
      <c r="D877" s="46"/>
      <c r="E877" s="46"/>
      <c r="F877" s="46"/>
      <c r="G877" s="46"/>
      <c r="H877" s="46"/>
      <c r="I877" s="46"/>
    </row>
    <row r="878">
      <c r="A878" s="49"/>
      <c r="B878" s="46"/>
      <c r="C878" s="46"/>
      <c r="D878" s="46"/>
      <c r="E878" s="46"/>
      <c r="F878" s="46"/>
      <c r="G878" s="46"/>
      <c r="H878" s="46"/>
      <c r="I878" s="46"/>
    </row>
    <row r="879">
      <c r="A879" s="49"/>
      <c r="B879" s="46"/>
      <c r="C879" s="46"/>
      <c r="D879" s="46"/>
      <c r="E879" s="46"/>
      <c r="F879" s="46"/>
      <c r="G879" s="46"/>
      <c r="H879" s="46"/>
      <c r="I879" s="46"/>
    </row>
    <row r="880">
      <c r="A880" s="49"/>
      <c r="B880" s="46"/>
      <c r="C880" s="46"/>
      <c r="D880" s="46"/>
      <c r="E880" s="46"/>
      <c r="F880" s="46"/>
      <c r="G880" s="46"/>
      <c r="H880" s="46"/>
      <c r="I880" s="46"/>
    </row>
    <row r="881">
      <c r="A881" s="49"/>
      <c r="B881" s="46"/>
      <c r="C881" s="46"/>
      <c r="D881" s="46"/>
      <c r="E881" s="46"/>
      <c r="F881" s="46"/>
      <c r="G881" s="46"/>
      <c r="H881" s="46"/>
      <c r="I881" s="46"/>
    </row>
    <row r="882">
      <c r="A882" s="49"/>
      <c r="B882" s="46"/>
      <c r="C882" s="46"/>
      <c r="D882" s="46"/>
      <c r="E882" s="46"/>
      <c r="F882" s="46"/>
      <c r="G882" s="46"/>
      <c r="H882" s="46"/>
      <c r="I882" s="46"/>
    </row>
    <row r="883">
      <c r="A883" s="49"/>
      <c r="B883" s="46"/>
      <c r="C883" s="46"/>
      <c r="D883" s="46"/>
      <c r="E883" s="46"/>
      <c r="F883" s="46"/>
      <c r="G883" s="46"/>
      <c r="H883" s="46"/>
      <c r="I883" s="46"/>
    </row>
    <row r="884">
      <c r="A884" s="49"/>
      <c r="B884" s="46"/>
      <c r="C884" s="46"/>
      <c r="D884" s="46"/>
      <c r="E884" s="46"/>
      <c r="F884" s="46"/>
      <c r="G884" s="46"/>
      <c r="H884" s="46"/>
      <c r="I884" s="46"/>
    </row>
    <row r="885">
      <c r="A885" s="49"/>
      <c r="B885" s="46"/>
      <c r="C885" s="46"/>
      <c r="D885" s="46"/>
      <c r="E885" s="46"/>
      <c r="F885" s="46"/>
      <c r="G885" s="46"/>
      <c r="H885" s="46"/>
      <c r="I885" s="46"/>
    </row>
    <row r="886">
      <c r="A886" s="49"/>
      <c r="B886" s="46"/>
      <c r="C886" s="46"/>
      <c r="D886" s="46"/>
      <c r="E886" s="46"/>
      <c r="F886" s="46"/>
      <c r="G886" s="46"/>
      <c r="H886" s="46"/>
      <c r="I886" s="46"/>
    </row>
    <row r="887">
      <c r="A887" s="49"/>
      <c r="B887" s="46"/>
      <c r="C887" s="46"/>
      <c r="D887" s="46"/>
      <c r="E887" s="46"/>
      <c r="F887" s="46"/>
      <c r="G887" s="46"/>
      <c r="H887" s="46"/>
      <c r="I887" s="46"/>
    </row>
    <row r="888">
      <c r="A888" s="49"/>
      <c r="B888" s="46"/>
      <c r="C888" s="46"/>
      <c r="D888" s="46"/>
      <c r="E888" s="46"/>
      <c r="F888" s="46"/>
      <c r="G888" s="46"/>
      <c r="H888" s="46"/>
      <c r="I888" s="46"/>
    </row>
    <row r="889">
      <c r="A889" s="49"/>
      <c r="B889" s="46"/>
      <c r="C889" s="46"/>
      <c r="D889" s="46"/>
      <c r="E889" s="46"/>
      <c r="F889" s="46"/>
      <c r="G889" s="46"/>
      <c r="H889" s="46"/>
      <c r="I889" s="46"/>
    </row>
    <row r="890">
      <c r="A890" s="49"/>
      <c r="B890" s="46"/>
      <c r="C890" s="46"/>
      <c r="D890" s="46"/>
      <c r="E890" s="46"/>
      <c r="F890" s="46"/>
      <c r="G890" s="46"/>
      <c r="H890" s="46"/>
      <c r="I890" s="46"/>
    </row>
    <row r="891">
      <c r="A891" s="49"/>
      <c r="B891" s="46"/>
      <c r="C891" s="46"/>
      <c r="D891" s="46"/>
      <c r="E891" s="46"/>
      <c r="F891" s="46"/>
      <c r="G891" s="46"/>
      <c r="H891" s="46"/>
      <c r="I891" s="46"/>
    </row>
    <row r="892">
      <c r="A892" s="49"/>
      <c r="B892" s="46"/>
      <c r="C892" s="46"/>
      <c r="D892" s="46"/>
      <c r="E892" s="46"/>
      <c r="F892" s="46"/>
      <c r="G892" s="46"/>
      <c r="H892" s="46"/>
      <c r="I892" s="46"/>
    </row>
    <row r="893">
      <c r="A893" s="49"/>
      <c r="B893" s="46"/>
      <c r="C893" s="46"/>
      <c r="D893" s="46"/>
      <c r="E893" s="46"/>
      <c r="F893" s="46"/>
      <c r="G893" s="46"/>
      <c r="H893" s="46"/>
      <c r="I893" s="46"/>
    </row>
    <row r="894">
      <c r="A894" s="49"/>
      <c r="B894" s="46"/>
      <c r="C894" s="46"/>
      <c r="D894" s="46"/>
      <c r="E894" s="46"/>
      <c r="F894" s="46"/>
      <c r="G894" s="46"/>
      <c r="H894" s="46"/>
      <c r="I894" s="46"/>
    </row>
    <row r="895">
      <c r="A895" s="49"/>
      <c r="B895" s="46"/>
      <c r="C895" s="46"/>
      <c r="D895" s="46"/>
      <c r="E895" s="46"/>
      <c r="F895" s="46"/>
      <c r="G895" s="46"/>
      <c r="H895" s="46"/>
      <c r="I895" s="46"/>
    </row>
    <row r="896">
      <c r="A896" s="49"/>
      <c r="B896" s="46"/>
      <c r="C896" s="46"/>
      <c r="D896" s="46"/>
      <c r="E896" s="46"/>
      <c r="F896" s="46"/>
      <c r="G896" s="46"/>
      <c r="H896" s="46"/>
      <c r="I896" s="46"/>
    </row>
    <row r="897">
      <c r="A897" s="49"/>
      <c r="B897" s="46"/>
      <c r="C897" s="46"/>
      <c r="D897" s="46"/>
      <c r="E897" s="46"/>
      <c r="F897" s="46"/>
      <c r="G897" s="46"/>
      <c r="H897" s="46"/>
      <c r="I897" s="46"/>
    </row>
    <row r="898">
      <c r="A898" s="49"/>
      <c r="B898" s="46"/>
      <c r="C898" s="46"/>
      <c r="D898" s="46"/>
      <c r="E898" s="46"/>
      <c r="F898" s="46"/>
      <c r="G898" s="46"/>
      <c r="H898" s="46"/>
      <c r="I898" s="46"/>
    </row>
    <row r="899">
      <c r="A899" s="49"/>
      <c r="B899" s="46"/>
      <c r="C899" s="46"/>
      <c r="D899" s="46"/>
      <c r="E899" s="46"/>
      <c r="F899" s="46"/>
      <c r="G899" s="46"/>
      <c r="H899" s="46"/>
      <c r="I899" s="46"/>
    </row>
    <row r="900">
      <c r="A900" s="49"/>
      <c r="B900" s="46"/>
      <c r="C900" s="46"/>
      <c r="D900" s="46"/>
      <c r="E900" s="46"/>
      <c r="F900" s="46"/>
      <c r="G900" s="46"/>
      <c r="H900" s="46"/>
      <c r="I900" s="46"/>
    </row>
    <row r="901">
      <c r="A901" s="49"/>
      <c r="B901" s="46"/>
      <c r="C901" s="46"/>
      <c r="D901" s="46"/>
      <c r="E901" s="46"/>
      <c r="F901" s="46"/>
      <c r="G901" s="46"/>
      <c r="H901" s="46"/>
      <c r="I901" s="46"/>
    </row>
    <row r="902">
      <c r="A902" s="49"/>
      <c r="B902" s="46"/>
      <c r="C902" s="46"/>
      <c r="D902" s="46"/>
      <c r="E902" s="46"/>
      <c r="F902" s="46"/>
      <c r="G902" s="46"/>
      <c r="H902" s="46"/>
      <c r="I902" s="46"/>
    </row>
    <row r="903">
      <c r="A903" s="49"/>
      <c r="B903" s="46"/>
      <c r="C903" s="46"/>
      <c r="D903" s="46"/>
      <c r="E903" s="46"/>
      <c r="F903" s="46"/>
      <c r="G903" s="46"/>
      <c r="H903" s="46"/>
      <c r="I903" s="46"/>
    </row>
    <row r="904">
      <c r="A904" s="49"/>
      <c r="B904" s="46"/>
      <c r="C904" s="46"/>
      <c r="D904" s="46"/>
      <c r="E904" s="46"/>
      <c r="F904" s="46"/>
      <c r="G904" s="46"/>
      <c r="H904" s="46"/>
      <c r="I904" s="46"/>
    </row>
    <row r="905">
      <c r="A905" s="49"/>
      <c r="B905" s="46"/>
      <c r="C905" s="46"/>
      <c r="D905" s="46"/>
      <c r="E905" s="46"/>
      <c r="F905" s="46"/>
      <c r="G905" s="46"/>
      <c r="H905" s="46"/>
      <c r="I905" s="46"/>
    </row>
    <row r="906">
      <c r="A906" s="49"/>
      <c r="B906" s="46"/>
      <c r="C906" s="46"/>
      <c r="D906" s="46"/>
      <c r="E906" s="46"/>
      <c r="F906" s="46"/>
      <c r="G906" s="46"/>
      <c r="H906" s="46"/>
      <c r="I906" s="46"/>
    </row>
    <row r="907">
      <c r="A907" s="49"/>
      <c r="B907" s="46"/>
      <c r="C907" s="46"/>
      <c r="D907" s="46"/>
      <c r="E907" s="46"/>
      <c r="F907" s="46"/>
      <c r="G907" s="46"/>
      <c r="H907" s="46"/>
      <c r="I907" s="46"/>
    </row>
    <row r="908">
      <c r="A908" s="49"/>
      <c r="B908" s="46"/>
      <c r="C908" s="46"/>
      <c r="D908" s="46"/>
      <c r="E908" s="46"/>
      <c r="F908" s="46"/>
      <c r="G908" s="46"/>
      <c r="H908" s="46"/>
      <c r="I908" s="46"/>
    </row>
    <row r="909">
      <c r="A909" s="49"/>
      <c r="B909" s="46"/>
      <c r="C909" s="46"/>
      <c r="D909" s="46"/>
      <c r="E909" s="46"/>
      <c r="F909" s="46"/>
      <c r="G909" s="46"/>
      <c r="H909" s="46"/>
      <c r="I909" s="46"/>
    </row>
    <row r="910">
      <c r="A910" s="49"/>
      <c r="B910" s="46"/>
      <c r="C910" s="46"/>
      <c r="D910" s="46"/>
      <c r="E910" s="46"/>
      <c r="F910" s="46"/>
      <c r="G910" s="46"/>
      <c r="H910" s="46"/>
      <c r="I910" s="46"/>
    </row>
    <row r="911">
      <c r="A911" s="49"/>
      <c r="B911" s="46"/>
      <c r="C911" s="46"/>
      <c r="D911" s="46"/>
      <c r="E911" s="46"/>
      <c r="F911" s="46"/>
      <c r="G911" s="46"/>
      <c r="H911" s="46"/>
      <c r="I911" s="46"/>
    </row>
    <row r="912">
      <c r="A912" s="49"/>
      <c r="B912" s="46"/>
      <c r="C912" s="46"/>
      <c r="D912" s="46"/>
      <c r="E912" s="46"/>
      <c r="F912" s="46"/>
      <c r="G912" s="46"/>
      <c r="H912" s="46"/>
      <c r="I912" s="46"/>
    </row>
    <row r="913">
      <c r="A913" s="49"/>
      <c r="B913" s="46"/>
      <c r="C913" s="46"/>
      <c r="D913" s="46"/>
      <c r="E913" s="46"/>
      <c r="F913" s="46"/>
      <c r="G913" s="46"/>
      <c r="H913" s="46"/>
      <c r="I913" s="46"/>
    </row>
    <row r="914">
      <c r="A914" s="49"/>
      <c r="B914" s="46"/>
      <c r="C914" s="46"/>
      <c r="D914" s="46"/>
      <c r="E914" s="46"/>
      <c r="F914" s="46"/>
      <c r="G914" s="46"/>
      <c r="H914" s="46"/>
      <c r="I914" s="46"/>
    </row>
    <row r="915">
      <c r="A915" s="49"/>
      <c r="B915" s="46"/>
      <c r="C915" s="46"/>
      <c r="D915" s="46"/>
      <c r="E915" s="46"/>
      <c r="F915" s="46"/>
      <c r="G915" s="46"/>
      <c r="H915" s="46"/>
      <c r="I915" s="46"/>
    </row>
    <row r="916">
      <c r="A916" s="49"/>
      <c r="B916" s="46"/>
      <c r="C916" s="46"/>
      <c r="D916" s="46"/>
      <c r="E916" s="46"/>
      <c r="F916" s="46"/>
      <c r="G916" s="46"/>
      <c r="H916" s="46"/>
      <c r="I916" s="46"/>
    </row>
    <row r="917">
      <c r="A917" s="49"/>
      <c r="B917" s="46"/>
      <c r="C917" s="46"/>
      <c r="D917" s="46"/>
      <c r="E917" s="46"/>
      <c r="F917" s="46"/>
      <c r="G917" s="46"/>
      <c r="H917" s="46"/>
      <c r="I917" s="46"/>
    </row>
    <row r="918">
      <c r="A918" s="49"/>
      <c r="B918" s="46"/>
      <c r="C918" s="46"/>
      <c r="D918" s="46"/>
      <c r="E918" s="46"/>
      <c r="F918" s="46"/>
      <c r="G918" s="46"/>
      <c r="H918" s="46"/>
      <c r="I918" s="46"/>
    </row>
    <row r="919">
      <c r="A919" s="49"/>
      <c r="B919" s="46"/>
      <c r="C919" s="46"/>
      <c r="D919" s="46"/>
      <c r="E919" s="46"/>
      <c r="F919" s="46"/>
      <c r="G919" s="46"/>
      <c r="H919" s="46"/>
      <c r="I919" s="46"/>
    </row>
    <row r="920">
      <c r="A920" s="49"/>
      <c r="B920" s="46"/>
      <c r="C920" s="46"/>
      <c r="D920" s="46"/>
      <c r="E920" s="46"/>
      <c r="F920" s="46"/>
      <c r="G920" s="46"/>
      <c r="H920" s="46"/>
      <c r="I920" s="46"/>
    </row>
    <row r="921">
      <c r="A921" s="49"/>
      <c r="B921" s="46"/>
      <c r="C921" s="46"/>
      <c r="D921" s="46"/>
      <c r="E921" s="46"/>
      <c r="F921" s="46"/>
      <c r="G921" s="46"/>
      <c r="H921" s="46"/>
      <c r="I921" s="46"/>
    </row>
    <row r="922">
      <c r="A922" s="49"/>
      <c r="B922" s="46"/>
      <c r="C922" s="46"/>
      <c r="D922" s="46"/>
      <c r="E922" s="46"/>
      <c r="F922" s="46"/>
      <c r="G922" s="46"/>
      <c r="H922" s="46"/>
      <c r="I922" s="46"/>
    </row>
    <row r="923">
      <c r="A923" s="49"/>
      <c r="B923" s="46"/>
      <c r="C923" s="46"/>
      <c r="D923" s="46"/>
      <c r="E923" s="46"/>
      <c r="F923" s="46"/>
      <c r="G923" s="46"/>
      <c r="H923" s="46"/>
      <c r="I923" s="46"/>
    </row>
    <row r="924">
      <c r="A924" s="49"/>
      <c r="B924" s="46"/>
      <c r="C924" s="46"/>
      <c r="D924" s="46"/>
      <c r="E924" s="46"/>
      <c r="F924" s="46"/>
      <c r="G924" s="46"/>
      <c r="H924" s="46"/>
      <c r="I924" s="46"/>
    </row>
    <row r="925">
      <c r="A925" s="49"/>
      <c r="B925" s="46"/>
      <c r="C925" s="46"/>
      <c r="D925" s="46"/>
      <c r="E925" s="46"/>
      <c r="F925" s="46"/>
      <c r="G925" s="46"/>
      <c r="H925" s="46"/>
      <c r="I925" s="46"/>
    </row>
    <row r="926">
      <c r="A926" s="49"/>
      <c r="B926" s="46"/>
      <c r="C926" s="46"/>
      <c r="D926" s="46"/>
      <c r="E926" s="46"/>
      <c r="F926" s="46"/>
      <c r="G926" s="46"/>
      <c r="H926" s="46"/>
      <c r="I926" s="46"/>
    </row>
    <row r="927">
      <c r="A927" s="49"/>
      <c r="B927" s="46"/>
      <c r="C927" s="46"/>
      <c r="D927" s="46"/>
      <c r="E927" s="46"/>
      <c r="F927" s="46"/>
      <c r="G927" s="46"/>
      <c r="H927" s="46"/>
      <c r="I927" s="46"/>
    </row>
    <row r="928">
      <c r="A928" s="49"/>
      <c r="B928" s="46"/>
      <c r="C928" s="46"/>
      <c r="D928" s="46"/>
      <c r="E928" s="46"/>
      <c r="F928" s="46"/>
      <c r="G928" s="46"/>
      <c r="H928" s="46"/>
      <c r="I928" s="46"/>
    </row>
    <row r="929">
      <c r="A929" s="49"/>
      <c r="B929" s="46"/>
      <c r="C929" s="46"/>
      <c r="D929" s="46"/>
      <c r="E929" s="46"/>
      <c r="F929" s="46"/>
      <c r="G929" s="46"/>
      <c r="H929" s="46"/>
      <c r="I929" s="46"/>
    </row>
    <row r="930">
      <c r="A930" s="49"/>
      <c r="B930" s="46"/>
      <c r="C930" s="46"/>
      <c r="D930" s="46"/>
      <c r="E930" s="46"/>
      <c r="F930" s="46"/>
      <c r="G930" s="46"/>
      <c r="H930" s="46"/>
      <c r="I930" s="46"/>
    </row>
    <row r="931">
      <c r="A931" s="49"/>
      <c r="B931" s="46"/>
      <c r="C931" s="46"/>
      <c r="D931" s="46"/>
      <c r="E931" s="46"/>
      <c r="F931" s="46"/>
      <c r="G931" s="46"/>
      <c r="H931" s="46"/>
      <c r="I931" s="46"/>
    </row>
    <row r="932">
      <c r="A932" s="49"/>
      <c r="B932" s="46"/>
      <c r="C932" s="46"/>
      <c r="D932" s="46"/>
      <c r="E932" s="46"/>
      <c r="F932" s="46"/>
      <c r="G932" s="46"/>
      <c r="H932" s="46"/>
      <c r="I932" s="46"/>
    </row>
    <row r="933">
      <c r="A933" s="49"/>
      <c r="B933" s="46"/>
      <c r="C933" s="46"/>
      <c r="D933" s="46"/>
      <c r="E933" s="46"/>
      <c r="F933" s="46"/>
      <c r="G933" s="46"/>
      <c r="H933" s="46"/>
      <c r="I933" s="46"/>
    </row>
    <row r="934">
      <c r="A934" s="49"/>
      <c r="B934" s="46"/>
      <c r="C934" s="46"/>
      <c r="D934" s="46"/>
      <c r="E934" s="46"/>
      <c r="F934" s="46"/>
      <c r="G934" s="46"/>
      <c r="H934" s="46"/>
      <c r="I934" s="46"/>
    </row>
    <row r="935">
      <c r="A935" s="49"/>
      <c r="B935" s="46"/>
      <c r="C935" s="46"/>
      <c r="D935" s="46"/>
      <c r="E935" s="46"/>
      <c r="F935" s="46"/>
      <c r="G935" s="46"/>
      <c r="H935" s="46"/>
      <c r="I935" s="46"/>
    </row>
    <row r="936">
      <c r="A936" s="49"/>
      <c r="B936" s="46"/>
      <c r="C936" s="46"/>
      <c r="D936" s="46"/>
      <c r="E936" s="46"/>
      <c r="F936" s="46"/>
      <c r="G936" s="46"/>
      <c r="H936" s="46"/>
      <c r="I936" s="46"/>
    </row>
    <row r="937">
      <c r="A937" s="49"/>
      <c r="B937" s="46"/>
      <c r="C937" s="46"/>
      <c r="D937" s="46"/>
      <c r="E937" s="46"/>
      <c r="F937" s="46"/>
      <c r="G937" s="46"/>
      <c r="H937" s="46"/>
      <c r="I937" s="46"/>
    </row>
    <row r="938">
      <c r="A938" s="49"/>
      <c r="B938" s="46"/>
      <c r="C938" s="46"/>
      <c r="D938" s="46"/>
      <c r="E938" s="46"/>
      <c r="F938" s="46"/>
      <c r="G938" s="46"/>
      <c r="H938" s="46"/>
      <c r="I938" s="46"/>
    </row>
    <row r="939">
      <c r="A939" s="49"/>
      <c r="B939" s="46"/>
      <c r="C939" s="46"/>
      <c r="D939" s="46"/>
      <c r="E939" s="46"/>
      <c r="F939" s="46"/>
      <c r="G939" s="46"/>
      <c r="H939" s="46"/>
      <c r="I939" s="46"/>
    </row>
    <row r="940">
      <c r="A940" s="49"/>
      <c r="B940" s="46"/>
      <c r="C940" s="46"/>
      <c r="D940" s="46"/>
      <c r="E940" s="46"/>
      <c r="F940" s="46"/>
      <c r="G940" s="46"/>
      <c r="H940" s="46"/>
      <c r="I940" s="46"/>
    </row>
    <row r="941">
      <c r="A941" s="49"/>
      <c r="B941" s="46"/>
      <c r="C941" s="46"/>
      <c r="D941" s="46"/>
      <c r="E941" s="46"/>
      <c r="F941" s="46"/>
      <c r="G941" s="46"/>
      <c r="H941" s="46"/>
      <c r="I941" s="46"/>
    </row>
    <row r="942">
      <c r="A942" s="49"/>
      <c r="B942" s="46"/>
      <c r="C942" s="46"/>
      <c r="D942" s="46"/>
      <c r="E942" s="46"/>
      <c r="F942" s="46"/>
      <c r="G942" s="46"/>
      <c r="H942" s="46"/>
      <c r="I942" s="46"/>
    </row>
    <row r="943">
      <c r="A943" s="49"/>
      <c r="B943" s="46"/>
      <c r="C943" s="46"/>
      <c r="D943" s="46"/>
      <c r="E943" s="46"/>
      <c r="F943" s="46"/>
      <c r="G943" s="46"/>
      <c r="H943" s="46"/>
      <c r="I943" s="46"/>
    </row>
    <row r="944">
      <c r="A944" s="49"/>
      <c r="B944" s="46"/>
      <c r="C944" s="46"/>
      <c r="D944" s="46"/>
      <c r="E944" s="46"/>
      <c r="F944" s="46"/>
      <c r="G944" s="46"/>
      <c r="H944" s="46"/>
      <c r="I944" s="46"/>
    </row>
    <row r="945">
      <c r="A945" s="49"/>
      <c r="B945" s="46"/>
      <c r="C945" s="46"/>
      <c r="D945" s="46"/>
      <c r="E945" s="46"/>
      <c r="F945" s="46"/>
      <c r="G945" s="46"/>
      <c r="H945" s="46"/>
      <c r="I945" s="46"/>
    </row>
    <row r="946">
      <c r="A946" s="49"/>
      <c r="B946" s="46"/>
      <c r="C946" s="46"/>
      <c r="D946" s="46"/>
      <c r="E946" s="46"/>
      <c r="F946" s="46"/>
      <c r="G946" s="46"/>
      <c r="H946" s="46"/>
      <c r="I946" s="46"/>
    </row>
    <row r="947">
      <c r="A947" s="49"/>
      <c r="B947" s="46"/>
      <c r="C947" s="46"/>
      <c r="D947" s="46"/>
      <c r="E947" s="46"/>
      <c r="F947" s="46"/>
      <c r="G947" s="46"/>
      <c r="H947" s="46"/>
      <c r="I947" s="46"/>
    </row>
    <row r="948">
      <c r="A948" s="49"/>
      <c r="B948" s="46"/>
      <c r="C948" s="46"/>
      <c r="D948" s="46"/>
      <c r="E948" s="46"/>
      <c r="F948" s="46"/>
      <c r="G948" s="46"/>
      <c r="H948" s="46"/>
      <c r="I948" s="46"/>
    </row>
    <row r="949">
      <c r="A949" s="49"/>
      <c r="B949" s="46"/>
      <c r="C949" s="46"/>
      <c r="D949" s="46"/>
      <c r="E949" s="46"/>
      <c r="F949" s="46"/>
      <c r="G949" s="46"/>
      <c r="H949" s="46"/>
      <c r="I949" s="46"/>
    </row>
    <row r="950">
      <c r="A950" s="49"/>
      <c r="B950" s="46"/>
      <c r="C950" s="46"/>
      <c r="D950" s="46"/>
      <c r="E950" s="46"/>
      <c r="F950" s="46"/>
      <c r="G950" s="46"/>
      <c r="H950" s="46"/>
      <c r="I950" s="46"/>
    </row>
    <row r="951">
      <c r="A951" s="49"/>
      <c r="B951" s="46"/>
      <c r="C951" s="46"/>
      <c r="D951" s="46"/>
      <c r="E951" s="46"/>
      <c r="F951" s="46"/>
      <c r="G951" s="46"/>
      <c r="H951" s="46"/>
      <c r="I951" s="46"/>
    </row>
    <row r="952">
      <c r="A952" s="49"/>
      <c r="B952" s="46"/>
      <c r="C952" s="46"/>
      <c r="D952" s="46"/>
      <c r="E952" s="46"/>
      <c r="F952" s="46"/>
      <c r="G952" s="46"/>
      <c r="H952" s="46"/>
      <c r="I952" s="46"/>
    </row>
    <row r="953">
      <c r="A953" s="49"/>
      <c r="B953" s="46"/>
      <c r="C953" s="46"/>
      <c r="D953" s="46"/>
      <c r="E953" s="46"/>
      <c r="F953" s="46"/>
      <c r="G953" s="46"/>
      <c r="H953" s="46"/>
      <c r="I953" s="46"/>
    </row>
    <row r="954">
      <c r="A954" s="49"/>
      <c r="B954" s="46"/>
      <c r="C954" s="46"/>
      <c r="D954" s="46"/>
      <c r="E954" s="46"/>
      <c r="F954" s="46"/>
      <c r="G954" s="46"/>
      <c r="H954" s="46"/>
      <c r="I954" s="46"/>
    </row>
    <row r="955">
      <c r="A955" s="49"/>
      <c r="B955" s="46"/>
      <c r="C955" s="46"/>
      <c r="D955" s="46"/>
      <c r="E955" s="46"/>
      <c r="F955" s="46"/>
      <c r="G955" s="46"/>
      <c r="H955" s="46"/>
      <c r="I955" s="46"/>
    </row>
    <row r="956">
      <c r="A956" s="49"/>
      <c r="B956" s="46"/>
      <c r="C956" s="46"/>
      <c r="D956" s="46"/>
      <c r="E956" s="46"/>
      <c r="F956" s="46"/>
      <c r="G956" s="46"/>
      <c r="H956" s="46"/>
      <c r="I956" s="46"/>
    </row>
    <row r="957">
      <c r="A957" s="49"/>
      <c r="B957" s="46"/>
      <c r="C957" s="46"/>
      <c r="D957" s="46"/>
      <c r="E957" s="46"/>
      <c r="F957" s="46"/>
      <c r="G957" s="46"/>
      <c r="H957" s="46"/>
      <c r="I957" s="46"/>
    </row>
    <row r="958">
      <c r="A958" s="49"/>
      <c r="B958" s="46"/>
      <c r="C958" s="46"/>
      <c r="D958" s="46"/>
      <c r="E958" s="46"/>
      <c r="F958" s="46"/>
      <c r="G958" s="46"/>
      <c r="H958" s="46"/>
      <c r="I958" s="46"/>
    </row>
    <row r="959">
      <c r="A959" s="49"/>
      <c r="B959" s="46"/>
      <c r="C959" s="46"/>
      <c r="D959" s="46"/>
      <c r="E959" s="46"/>
      <c r="F959" s="46"/>
      <c r="G959" s="46"/>
      <c r="H959" s="46"/>
      <c r="I959" s="46"/>
    </row>
    <row r="960">
      <c r="A960" s="49"/>
      <c r="B960" s="46"/>
      <c r="C960" s="46"/>
      <c r="D960" s="46"/>
      <c r="E960" s="46"/>
      <c r="F960" s="46"/>
      <c r="G960" s="46"/>
      <c r="H960" s="46"/>
      <c r="I960" s="46"/>
    </row>
    <row r="961">
      <c r="A961" s="49"/>
      <c r="B961" s="46"/>
      <c r="C961" s="46"/>
      <c r="D961" s="46"/>
      <c r="E961" s="46"/>
      <c r="F961" s="46"/>
      <c r="G961" s="46"/>
      <c r="H961" s="46"/>
      <c r="I961" s="46"/>
    </row>
    <row r="962">
      <c r="A962" s="49"/>
      <c r="B962" s="46"/>
      <c r="C962" s="46"/>
      <c r="D962" s="46"/>
      <c r="E962" s="46"/>
      <c r="F962" s="46"/>
      <c r="G962" s="46"/>
      <c r="H962" s="46"/>
      <c r="I962" s="46"/>
    </row>
    <row r="963">
      <c r="A963" s="49"/>
      <c r="B963" s="46"/>
      <c r="C963" s="46"/>
      <c r="D963" s="46"/>
      <c r="E963" s="46"/>
      <c r="F963" s="46"/>
      <c r="G963" s="46"/>
      <c r="H963" s="46"/>
      <c r="I963" s="46"/>
    </row>
    <row r="964">
      <c r="A964" s="49"/>
      <c r="B964" s="46"/>
      <c r="C964" s="46"/>
      <c r="D964" s="46"/>
      <c r="E964" s="46"/>
      <c r="F964" s="46"/>
      <c r="G964" s="46"/>
      <c r="H964" s="46"/>
      <c r="I964" s="46"/>
    </row>
    <row r="965">
      <c r="A965" s="49"/>
      <c r="B965" s="46"/>
      <c r="C965" s="46"/>
      <c r="D965" s="46"/>
      <c r="E965" s="46"/>
      <c r="F965" s="46"/>
      <c r="G965" s="46"/>
      <c r="H965" s="46"/>
      <c r="I965" s="46"/>
    </row>
    <row r="966">
      <c r="A966" s="49"/>
      <c r="B966" s="46"/>
      <c r="C966" s="46"/>
      <c r="D966" s="46"/>
      <c r="E966" s="46"/>
      <c r="F966" s="46"/>
      <c r="G966" s="46"/>
      <c r="H966" s="46"/>
      <c r="I966" s="46"/>
    </row>
    <row r="967">
      <c r="A967" s="49"/>
      <c r="B967" s="46"/>
      <c r="C967" s="46"/>
      <c r="D967" s="46"/>
      <c r="E967" s="46"/>
      <c r="F967" s="46"/>
      <c r="G967" s="46"/>
      <c r="H967" s="46"/>
      <c r="I967" s="46"/>
    </row>
    <row r="968">
      <c r="A968" s="49"/>
      <c r="B968" s="46"/>
      <c r="C968" s="46"/>
      <c r="D968" s="46"/>
      <c r="E968" s="46"/>
      <c r="F968" s="46"/>
      <c r="G968" s="46"/>
      <c r="H968" s="46"/>
      <c r="I968" s="46"/>
    </row>
    <row r="969">
      <c r="A969" s="49"/>
      <c r="B969" s="46"/>
      <c r="C969" s="46"/>
      <c r="D969" s="46"/>
      <c r="E969" s="46"/>
      <c r="F969" s="46"/>
      <c r="G969" s="46"/>
      <c r="H969" s="46"/>
      <c r="I969" s="46"/>
    </row>
    <row r="970">
      <c r="A970" s="49"/>
      <c r="B970" s="46"/>
      <c r="C970" s="46"/>
      <c r="D970" s="46"/>
      <c r="E970" s="46"/>
      <c r="F970" s="46"/>
      <c r="G970" s="46"/>
      <c r="H970" s="46"/>
      <c r="I970" s="46"/>
    </row>
    <row r="971">
      <c r="A971" s="49"/>
      <c r="B971" s="46"/>
      <c r="C971" s="46"/>
      <c r="D971" s="46"/>
      <c r="E971" s="46"/>
      <c r="F971" s="46"/>
      <c r="G971" s="46"/>
      <c r="H971" s="46"/>
      <c r="I971" s="46"/>
    </row>
    <row r="972">
      <c r="A972" s="49"/>
      <c r="B972" s="46"/>
      <c r="C972" s="46"/>
      <c r="D972" s="46"/>
      <c r="E972" s="46"/>
      <c r="F972" s="46"/>
      <c r="G972" s="46"/>
      <c r="H972" s="46"/>
      <c r="I972" s="46"/>
    </row>
    <row r="973">
      <c r="A973" s="49"/>
      <c r="B973" s="46"/>
      <c r="C973" s="46"/>
      <c r="D973" s="46"/>
      <c r="E973" s="46"/>
      <c r="F973" s="46"/>
      <c r="G973" s="46"/>
      <c r="H973" s="46"/>
      <c r="I973" s="46"/>
    </row>
    <row r="974">
      <c r="A974" s="49"/>
      <c r="B974" s="46"/>
      <c r="C974" s="46"/>
      <c r="D974" s="46"/>
      <c r="E974" s="46"/>
      <c r="F974" s="46"/>
      <c r="G974" s="46"/>
      <c r="H974" s="46"/>
      <c r="I974" s="46"/>
    </row>
    <row r="975">
      <c r="A975" s="49"/>
      <c r="B975" s="46"/>
      <c r="C975" s="46"/>
      <c r="D975" s="46"/>
      <c r="E975" s="46"/>
      <c r="F975" s="46"/>
      <c r="G975" s="46"/>
      <c r="H975" s="46"/>
      <c r="I975" s="46"/>
    </row>
    <row r="976">
      <c r="A976" s="49"/>
      <c r="B976" s="46"/>
      <c r="C976" s="46"/>
      <c r="D976" s="46"/>
      <c r="E976" s="46"/>
      <c r="F976" s="46"/>
      <c r="G976" s="46"/>
      <c r="H976" s="46"/>
      <c r="I976" s="46"/>
    </row>
    <row r="977">
      <c r="A977" s="49"/>
      <c r="B977" s="46"/>
      <c r="C977" s="46"/>
      <c r="D977" s="46"/>
      <c r="E977" s="46"/>
      <c r="F977" s="46"/>
      <c r="G977" s="46"/>
      <c r="H977" s="46"/>
      <c r="I977" s="46"/>
    </row>
    <row r="978">
      <c r="A978" s="49"/>
      <c r="B978" s="46"/>
      <c r="C978" s="46"/>
      <c r="D978" s="46"/>
      <c r="E978" s="46"/>
      <c r="F978" s="46"/>
      <c r="G978" s="46"/>
      <c r="H978" s="46"/>
      <c r="I978" s="46"/>
    </row>
    <row r="979">
      <c r="A979" s="49"/>
      <c r="B979" s="46"/>
      <c r="C979" s="46"/>
      <c r="D979" s="46"/>
      <c r="E979" s="46"/>
      <c r="F979" s="46"/>
      <c r="G979" s="46"/>
      <c r="H979" s="46"/>
      <c r="I979" s="46"/>
    </row>
    <row r="980">
      <c r="A980" s="49"/>
      <c r="B980" s="46"/>
      <c r="C980" s="46"/>
      <c r="D980" s="46"/>
      <c r="E980" s="46"/>
      <c r="F980" s="46"/>
      <c r="G980" s="46"/>
      <c r="H980" s="46"/>
      <c r="I980" s="46"/>
    </row>
    <row r="981">
      <c r="A981" s="49"/>
      <c r="B981" s="46"/>
      <c r="C981" s="46"/>
      <c r="D981" s="46"/>
      <c r="E981" s="46"/>
      <c r="F981" s="46"/>
      <c r="G981" s="46"/>
      <c r="H981" s="46"/>
      <c r="I981" s="46"/>
    </row>
    <row r="982">
      <c r="A982" s="49"/>
      <c r="B982" s="46"/>
      <c r="C982" s="46"/>
      <c r="D982" s="46"/>
      <c r="E982" s="46"/>
      <c r="F982" s="46"/>
      <c r="G982" s="46"/>
      <c r="H982" s="46"/>
      <c r="I982" s="46"/>
    </row>
    <row r="983">
      <c r="A983" s="49"/>
      <c r="B983" s="46"/>
      <c r="C983" s="46"/>
      <c r="D983" s="46"/>
      <c r="E983" s="46"/>
      <c r="F983" s="46"/>
      <c r="G983" s="46"/>
      <c r="H983" s="46"/>
      <c r="I983" s="46"/>
    </row>
    <row r="984">
      <c r="A984" s="49"/>
      <c r="B984" s="46"/>
      <c r="C984" s="46"/>
      <c r="D984" s="46"/>
      <c r="E984" s="46"/>
      <c r="F984" s="46"/>
      <c r="G984" s="46"/>
      <c r="H984" s="46"/>
      <c r="I984" s="46"/>
    </row>
    <row r="985">
      <c r="A985" s="49"/>
      <c r="B985" s="46"/>
      <c r="C985" s="46"/>
      <c r="D985" s="46"/>
      <c r="E985" s="46"/>
      <c r="F985" s="46"/>
      <c r="G985" s="46"/>
      <c r="H985" s="46"/>
      <c r="I985" s="46"/>
    </row>
    <row r="986">
      <c r="A986" s="49"/>
      <c r="B986" s="46"/>
      <c r="C986" s="46"/>
      <c r="D986" s="46"/>
      <c r="E986" s="46"/>
      <c r="F986" s="46"/>
      <c r="G986" s="46"/>
      <c r="H986" s="46"/>
      <c r="I986" s="46"/>
    </row>
    <row r="987">
      <c r="A987" s="49"/>
      <c r="B987" s="46"/>
      <c r="C987" s="46"/>
      <c r="D987" s="46"/>
      <c r="E987" s="46"/>
      <c r="F987" s="46"/>
      <c r="G987" s="46"/>
      <c r="H987" s="46"/>
      <c r="I987" s="46"/>
    </row>
    <row r="988">
      <c r="A988" s="49"/>
      <c r="B988" s="46"/>
      <c r="C988" s="46"/>
      <c r="D988" s="46"/>
      <c r="E988" s="46"/>
      <c r="F988" s="46"/>
      <c r="G988" s="46"/>
      <c r="H988" s="46"/>
      <c r="I988" s="46"/>
    </row>
    <row r="989">
      <c r="A989" s="49"/>
      <c r="B989" s="46"/>
      <c r="C989" s="46"/>
      <c r="D989" s="46"/>
      <c r="E989" s="46"/>
      <c r="F989" s="46"/>
      <c r="G989" s="46"/>
      <c r="H989" s="46"/>
      <c r="I989" s="46"/>
    </row>
    <row r="990">
      <c r="A990" s="49"/>
      <c r="B990" s="46"/>
      <c r="C990" s="46"/>
      <c r="D990" s="46"/>
      <c r="E990" s="46"/>
      <c r="F990" s="46"/>
      <c r="G990" s="46"/>
      <c r="H990" s="46"/>
      <c r="I990" s="46"/>
    </row>
    <row r="991">
      <c r="A991" s="49"/>
      <c r="B991" s="46"/>
      <c r="C991" s="46"/>
      <c r="D991" s="46"/>
      <c r="E991" s="46"/>
      <c r="F991" s="46"/>
      <c r="G991" s="46"/>
      <c r="H991" s="46"/>
      <c r="I991" s="46"/>
    </row>
    <row r="992">
      <c r="A992" s="49"/>
      <c r="B992" s="46"/>
      <c r="C992" s="46"/>
      <c r="D992" s="46"/>
      <c r="E992" s="46"/>
      <c r="F992" s="46"/>
      <c r="G992" s="46"/>
      <c r="H992" s="46"/>
      <c r="I992" s="46"/>
    </row>
    <row r="993">
      <c r="A993" s="49"/>
      <c r="B993" s="46"/>
      <c r="C993" s="46"/>
      <c r="D993" s="46"/>
      <c r="E993" s="46"/>
      <c r="F993" s="46"/>
      <c r="G993" s="46"/>
      <c r="H993" s="46"/>
      <c r="I993" s="46"/>
    </row>
    <row r="994">
      <c r="A994" s="49"/>
      <c r="B994" s="46"/>
      <c r="C994" s="46"/>
      <c r="D994" s="46"/>
      <c r="E994" s="46"/>
      <c r="F994" s="46"/>
      <c r="G994" s="46"/>
      <c r="H994" s="46"/>
      <c r="I994" s="46"/>
    </row>
    <row r="995">
      <c r="A995" s="49"/>
      <c r="B995" s="46"/>
      <c r="C995" s="46"/>
      <c r="D995" s="46"/>
      <c r="E995" s="46"/>
      <c r="F995" s="46"/>
      <c r="G995" s="46"/>
      <c r="H995" s="46"/>
      <c r="I995" s="46"/>
    </row>
    <row r="996">
      <c r="A996" s="49"/>
      <c r="B996" s="46"/>
      <c r="C996" s="46"/>
      <c r="D996" s="46"/>
      <c r="E996" s="46"/>
      <c r="F996" s="46"/>
      <c r="G996" s="46"/>
      <c r="H996" s="46"/>
      <c r="I996" s="46"/>
    </row>
    <row r="997">
      <c r="A997" s="49"/>
      <c r="B997" s="46"/>
      <c r="C997" s="46"/>
      <c r="D997" s="46"/>
      <c r="E997" s="46"/>
      <c r="F997" s="46"/>
      <c r="G997" s="46"/>
      <c r="H997" s="46"/>
      <c r="I997" s="46"/>
    </row>
    <row r="998">
      <c r="A998" s="49"/>
      <c r="B998" s="46"/>
      <c r="C998" s="46"/>
      <c r="D998" s="46"/>
      <c r="E998" s="46"/>
      <c r="F998" s="46"/>
      <c r="G998" s="46"/>
      <c r="H998" s="46"/>
      <c r="I998" s="46"/>
    </row>
    <row r="999">
      <c r="A999" s="49"/>
      <c r="B999" s="46"/>
      <c r="C999" s="46"/>
      <c r="D999" s="46"/>
      <c r="E999" s="46"/>
      <c r="F999" s="46"/>
      <c r="G999" s="46"/>
      <c r="H999" s="46"/>
      <c r="I999" s="46"/>
    </row>
  </sheetData>
  <mergeCells count="6">
    <mergeCell ref="F1:H1"/>
    <mergeCell ref="I1:K1"/>
    <mergeCell ref="L1:N1"/>
    <mergeCell ref="O1:Q1"/>
    <mergeCell ref="R1:T1"/>
    <mergeCell ref="U1:W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293</v>
      </c>
      <c r="B1" s="43" t="s">
        <v>294</v>
      </c>
      <c r="C1" s="43" t="s">
        <v>295</v>
      </c>
      <c r="D1" s="43" t="s">
        <v>296</v>
      </c>
      <c r="E1" s="43" t="s">
        <v>297</v>
      </c>
      <c r="F1" s="43" t="s">
        <v>298</v>
      </c>
      <c r="G1" s="43" t="s">
        <v>274</v>
      </c>
      <c r="H1" s="43" t="s">
        <v>299</v>
      </c>
      <c r="I1" s="43" t="s">
        <v>300</v>
      </c>
      <c r="J1" s="43" t="s">
        <v>277</v>
      </c>
      <c r="K1" s="43" t="s">
        <v>279</v>
      </c>
      <c r="L1" s="51" t="s">
        <v>281</v>
      </c>
      <c r="M1" s="43" t="s">
        <v>275</v>
      </c>
      <c r="N1" s="43" t="s">
        <v>301</v>
      </c>
      <c r="O1" s="43" t="s">
        <v>302</v>
      </c>
      <c r="P1" s="43" t="s">
        <v>303</v>
      </c>
      <c r="Q1" s="43" t="s">
        <v>304</v>
      </c>
      <c r="R1" s="43" t="s">
        <v>305</v>
      </c>
      <c r="S1" s="43" t="s">
        <v>306</v>
      </c>
      <c r="T1" s="43" t="s">
        <v>307</v>
      </c>
      <c r="U1" s="43" t="s">
        <v>308</v>
      </c>
      <c r="V1" s="43" t="s">
        <v>309</v>
      </c>
      <c r="W1" s="43" t="s">
        <v>310</v>
      </c>
      <c r="X1" s="43" t="s">
        <v>311</v>
      </c>
      <c r="Y1" s="43" t="s">
        <v>312</v>
      </c>
      <c r="Z1" s="43" t="s">
        <v>313</v>
      </c>
      <c r="AA1" s="43" t="s">
        <v>314</v>
      </c>
      <c r="AB1" s="43" t="s">
        <v>315</v>
      </c>
      <c r="AC1" s="43" t="s">
        <v>316</v>
      </c>
      <c r="AD1" s="43" t="s">
        <v>317</v>
      </c>
      <c r="AE1" s="43" t="s">
        <v>318</v>
      </c>
      <c r="AF1" s="43" t="s">
        <v>319</v>
      </c>
      <c r="AG1" s="43" t="s">
        <v>320</v>
      </c>
      <c r="AH1" s="43" t="s">
        <v>321</v>
      </c>
      <c r="AI1" s="43" t="s">
        <v>322</v>
      </c>
      <c r="AJ1" s="43" t="s">
        <v>323</v>
      </c>
      <c r="AK1" s="43" t="s">
        <v>324</v>
      </c>
      <c r="AL1" s="43" t="s">
        <v>325</v>
      </c>
      <c r="AM1" s="43" t="s">
        <v>326</v>
      </c>
      <c r="AN1" s="43" t="s">
        <v>327</v>
      </c>
      <c r="AO1" s="43" t="s">
        <v>328</v>
      </c>
      <c r="AP1" s="43" t="s">
        <v>329</v>
      </c>
      <c r="AQ1" s="43" t="s">
        <v>330</v>
      </c>
      <c r="AR1" s="43" t="s">
        <v>331</v>
      </c>
      <c r="AS1" s="43" t="s">
        <v>332</v>
      </c>
      <c r="AT1" s="43" t="s">
        <v>333</v>
      </c>
      <c r="AU1" s="43" t="s">
        <v>334</v>
      </c>
      <c r="AV1" s="43" t="s">
        <v>335</v>
      </c>
      <c r="AW1" s="43" t="s">
        <v>336</v>
      </c>
      <c r="AX1" s="43" t="s">
        <v>337</v>
      </c>
      <c r="AY1" s="43" t="s">
        <v>278</v>
      </c>
      <c r="AZ1" s="43" t="s">
        <v>280</v>
      </c>
      <c r="BA1" s="51" t="s">
        <v>282</v>
      </c>
      <c r="BB1" s="43" t="s">
        <v>276</v>
      </c>
      <c r="BC1" s="43" t="s">
        <v>338</v>
      </c>
      <c r="BD1" s="43" t="s">
        <v>339</v>
      </c>
      <c r="BE1" s="43" t="s">
        <v>340</v>
      </c>
      <c r="BF1" s="43" t="s">
        <v>341</v>
      </c>
      <c r="BG1" s="43" t="s">
        <v>342</v>
      </c>
      <c r="BH1" s="43" t="s">
        <v>343</v>
      </c>
      <c r="BI1" s="43" t="s">
        <v>344</v>
      </c>
      <c r="BJ1" s="43" t="s">
        <v>345</v>
      </c>
      <c r="BK1" s="43" t="s">
        <v>346</v>
      </c>
      <c r="BL1" s="43" t="s">
        <v>347</v>
      </c>
      <c r="BM1" s="43" t="s">
        <v>348</v>
      </c>
      <c r="BN1" s="43" t="s">
        <v>349</v>
      </c>
      <c r="BO1" s="43" t="s">
        <v>350</v>
      </c>
      <c r="BP1" s="43" t="s">
        <v>351</v>
      </c>
      <c r="BQ1" s="43" t="s">
        <v>352</v>
      </c>
      <c r="BR1" s="43" t="s">
        <v>353</v>
      </c>
      <c r="BS1" s="43" t="s">
        <v>354</v>
      </c>
      <c r="BT1" s="43" t="s">
        <v>355</v>
      </c>
      <c r="BU1" s="43" t="s">
        <v>356</v>
      </c>
      <c r="BV1" s="43" t="s">
        <v>357</v>
      </c>
      <c r="BW1" s="43" t="s">
        <v>358</v>
      </c>
      <c r="BX1" s="43" t="s">
        <v>359</v>
      </c>
      <c r="BY1" s="43" t="s">
        <v>360</v>
      </c>
      <c r="BZ1" s="43" t="s">
        <v>361</v>
      </c>
      <c r="CA1" s="43" t="s">
        <v>362</v>
      </c>
      <c r="CB1" s="43" t="s">
        <v>363</v>
      </c>
      <c r="CC1" s="43" t="s">
        <v>364</v>
      </c>
      <c r="CD1" s="43" t="s">
        <v>365</v>
      </c>
      <c r="CE1" s="43" t="s">
        <v>366</v>
      </c>
      <c r="CF1" s="43" t="s">
        <v>367</v>
      </c>
      <c r="CG1" s="43" t="s">
        <v>368</v>
      </c>
      <c r="CH1" s="43" t="s">
        <v>369</v>
      </c>
      <c r="CI1" s="43" t="s">
        <v>370</v>
      </c>
      <c r="CJ1" s="43" t="s">
        <v>371</v>
      </c>
      <c r="CK1" s="43" t="s">
        <v>372</v>
      </c>
      <c r="CL1" s="43" t="s">
        <v>373</v>
      </c>
      <c r="CM1" s="43" t="s">
        <v>374</v>
      </c>
      <c r="CN1" s="43" t="s">
        <v>375</v>
      </c>
    </row>
    <row r="2">
      <c r="A2" s="52"/>
      <c r="B2" s="52"/>
      <c r="C2" s="43" t="s">
        <v>376</v>
      </c>
      <c r="D2" s="43" t="s">
        <v>377</v>
      </c>
      <c r="E2" s="43" t="s">
        <v>378</v>
      </c>
      <c r="F2" s="43" t="s">
        <v>379</v>
      </c>
      <c r="G2" s="43" t="s">
        <v>380</v>
      </c>
      <c r="H2" s="43" t="s">
        <v>381</v>
      </c>
      <c r="I2" s="43" t="s">
        <v>382</v>
      </c>
      <c r="J2" s="43" t="s">
        <v>383</v>
      </c>
      <c r="K2" s="43" t="s">
        <v>384</v>
      </c>
      <c r="L2" s="51" t="s">
        <v>385</v>
      </c>
      <c r="M2" s="43" t="s">
        <v>386</v>
      </c>
      <c r="N2" s="43" t="s">
        <v>387</v>
      </c>
      <c r="O2" s="43" t="s">
        <v>388</v>
      </c>
      <c r="P2" s="43" t="s">
        <v>387</v>
      </c>
      <c r="Q2" s="43" t="s">
        <v>388</v>
      </c>
      <c r="R2" s="43" t="s">
        <v>387</v>
      </c>
      <c r="S2" s="43" t="s">
        <v>388</v>
      </c>
      <c r="T2" s="43" t="s">
        <v>389</v>
      </c>
      <c r="U2" s="43" t="s">
        <v>390</v>
      </c>
      <c r="V2" s="43" t="s">
        <v>389</v>
      </c>
      <c r="W2" s="43" t="s">
        <v>390</v>
      </c>
      <c r="X2" s="43" t="s">
        <v>391</v>
      </c>
      <c r="Y2" s="43" t="s">
        <v>392</v>
      </c>
      <c r="Z2" s="43" t="s">
        <v>391</v>
      </c>
      <c r="AA2" s="43" t="s">
        <v>392</v>
      </c>
      <c r="AB2" s="43" t="s">
        <v>393</v>
      </c>
      <c r="AC2" s="43" t="s">
        <v>394</v>
      </c>
      <c r="AD2" s="43" t="s">
        <v>387</v>
      </c>
      <c r="AE2" s="43" t="s">
        <v>388</v>
      </c>
      <c r="AF2" s="43" t="s">
        <v>387</v>
      </c>
      <c r="AG2" s="43" t="s">
        <v>388</v>
      </c>
      <c r="AH2" s="43" t="s">
        <v>387</v>
      </c>
      <c r="AI2" s="43" t="s">
        <v>388</v>
      </c>
      <c r="AJ2" s="43" t="s">
        <v>387</v>
      </c>
      <c r="AK2" s="43" t="s">
        <v>388</v>
      </c>
      <c r="AL2" s="43" t="s">
        <v>395</v>
      </c>
      <c r="AM2" s="43" t="s">
        <v>396</v>
      </c>
      <c r="AN2" s="43" t="s">
        <v>395</v>
      </c>
      <c r="AO2" s="43" t="s">
        <v>396</v>
      </c>
      <c r="AP2" s="43" t="s">
        <v>397</v>
      </c>
      <c r="AQ2" s="43" t="s">
        <v>398</v>
      </c>
      <c r="AR2" s="43" t="s">
        <v>397</v>
      </c>
      <c r="AS2" s="43" t="s">
        <v>398</v>
      </c>
      <c r="AT2" s="43" t="s">
        <v>397</v>
      </c>
      <c r="AU2" s="43" t="s">
        <v>398</v>
      </c>
      <c r="AV2" s="43" t="s">
        <v>397</v>
      </c>
      <c r="AW2" s="43" t="s">
        <v>398</v>
      </c>
      <c r="AX2" s="43" t="s">
        <v>382</v>
      </c>
      <c r="AY2" s="43" t="s">
        <v>383</v>
      </c>
      <c r="AZ2" s="43" t="s">
        <v>384</v>
      </c>
      <c r="BA2" s="51" t="s">
        <v>385</v>
      </c>
      <c r="BB2" s="43" t="s">
        <v>386</v>
      </c>
      <c r="BC2" s="43" t="s">
        <v>393</v>
      </c>
      <c r="BD2" s="43" t="s">
        <v>394</v>
      </c>
      <c r="BE2" s="43" t="s">
        <v>387</v>
      </c>
      <c r="BF2" s="43" t="s">
        <v>388</v>
      </c>
      <c r="BG2" s="43" t="s">
        <v>387</v>
      </c>
      <c r="BH2" s="43" t="s">
        <v>388</v>
      </c>
      <c r="BI2" s="43" t="s">
        <v>387</v>
      </c>
      <c r="BJ2" s="43" t="s">
        <v>388</v>
      </c>
      <c r="BK2" s="43" t="s">
        <v>389</v>
      </c>
      <c r="BL2" s="43" t="s">
        <v>390</v>
      </c>
      <c r="BM2" s="43" t="s">
        <v>389</v>
      </c>
      <c r="BN2" s="43" t="s">
        <v>390</v>
      </c>
      <c r="BO2" s="43" t="s">
        <v>391</v>
      </c>
      <c r="BP2" s="43" t="s">
        <v>392</v>
      </c>
      <c r="BQ2" s="43" t="s">
        <v>391</v>
      </c>
      <c r="BR2" s="43" t="s">
        <v>392</v>
      </c>
      <c r="BS2" s="43" t="s">
        <v>393</v>
      </c>
      <c r="BT2" s="43" t="s">
        <v>394</v>
      </c>
      <c r="BU2" s="43" t="s">
        <v>387</v>
      </c>
      <c r="BV2" s="43" t="s">
        <v>388</v>
      </c>
      <c r="BW2" s="43" t="s">
        <v>387</v>
      </c>
      <c r="BX2" s="43" t="s">
        <v>388</v>
      </c>
      <c r="BY2" s="43" t="s">
        <v>387</v>
      </c>
      <c r="BZ2" s="43" t="s">
        <v>388</v>
      </c>
      <c r="CA2" s="43" t="s">
        <v>387</v>
      </c>
      <c r="CB2" s="43" t="s">
        <v>388</v>
      </c>
      <c r="CC2" s="43" t="s">
        <v>395</v>
      </c>
      <c r="CD2" s="43" t="s">
        <v>396</v>
      </c>
      <c r="CE2" s="43" t="s">
        <v>395</v>
      </c>
      <c r="CF2" s="43" t="s">
        <v>396</v>
      </c>
      <c r="CG2" s="43" t="s">
        <v>397</v>
      </c>
      <c r="CH2" s="43" t="s">
        <v>398</v>
      </c>
      <c r="CI2" s="43" t="s">
        <v>397</v>
      </c>
      <c r="CJ2" s="43" t="s">
        <v>398</v>
      </c>
      <c r="CK2" s="43" t="s">
        <v>397</v>
      </c>
      <c r="CL2" s="43" t="s">
        <v>398</v>
      </c>
      <c r="CM2" s="43" t="s">
        <v>397</v>
      </c>
      <c r="CN2" s="43" t="s">
        <v>398</v>
      </c>
    </row>
    <row r="3">
      <c r="A3" s="43" t="s">
        <v>399</v>
      </c>
      <c r="B3" s="43"/>
      <c r="C3" s="53" t="s">
        <v>288</v>
      </c>
      <c r="D3" s="43" t="s">
        <v>400</v>
      </c>
      <c r="E3" s="43" t="s">
        <v>401</v>
      </c>
      <c r="F3" s="43"/>
      <c r="G3" s="43"/>
      <c r="H3" s="53" t="s">
        <v>263</v>
      </c>
      <c r="I3" s="53" t="s">
        <v>402</v>
      </c>
      <c r="J3" s="43">
        <f t="shared" ref="J3:J5" si="1">10/I3</f>
        <v>0.3846153846</v>
      </c>
      <c r="K3" s="53" t="s">
        <v>403</v>
      </c>
      <c r="L3" s="54" t="s">
        <v>404</v>
      </c>
      <c r="M3" s="53" t="s">
        <v>405</v>
      </c>
      <c r="N3" s="52"/>
      <c r="O3" s="52"/>
      <c r="P3" s="52"/>
      <c r="Q3" s="52"/>
      <c r="R3" s="52"/>
      <c r="S3" s="52"/>
      <c r="T3" s="52"/>
      <c r="U3" s="52"/>
      <c r="V3" s="52"/>
      <c r="W3" s="52"/>
      <c r="X3" s="52"/>
      <c r="Y3" s="52"/>
      <c r="Z3" s="52"/>
      <c r="AA3" s="52"/>
      <c r="AB3" s="43"/>
      <c r="AC3" s="43"/>
      <c r="AD3" s="52"/>
      <c r="AE3" s="52"/>
      <c r="AF3" s="52"/>
      <c r="AG3" s="52"/>
      <c r="AH3" s="52"/>
      <c r="AI3" s="52"/>
      <c r="AJ3" s="52"/>
      <c r="AK3" s="52"/>
      <c r="AL3" s="52"/>
      <c r="AM3" s="52"/>
      <c r="AN3" s="52"/>
      <c r="AO3" s="52"/>
      <c r="AP3" s="52"/>
      <c r="AQ3" s="52"/>
      <c r="AR3" s="52"/>
      <c r="AS3" s="52"/>
      <c r="AT3" s="52"/>
      <c r="AU3" s="52"/>
      <c r="AV3" s="52"/>
      <c r="AW3" s="52"/>
      <c r="AX3" s="53" t="s">
        <v>290</v>
      </c>
      <c r="AY3" s="43">
        <f t="shared" ref="AY3:AY5" si="2">10/AX3</f>
        <v>0.8333333333</v>
      </c>
      <c r="AZ3" s="53" t="s">
        <v>406</v>
      </c>
      <c r="BA3" s="54" t="s">
        <v>407</v>
      </c>
      <c r="BB3" s="53" t="s">
        <v>408</v>
      </c>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row>
    <row r="4">
      <c r="A4" s="43" t="s">
        <v>409</v>
      </c>
      <c r="B4" s="43"/>
      <c r="C4" s="53" t="s">
        <v>288</v>
      </c>
      <c r="D4" s="43" t="s">
        <v>410</v>
      </c>
      <c r="E4" s="43" t="s">
        <v>411</v>
      </c>
      <c r="F4" s="43"/>
      <c r="G4" s="53"/>
      <c r="H4" s="53" t="s">
        <v>263</v>
      </c>
      <c r="I4" s="53" t="s">
        <v>412</v>
      </c>
      <c r="J4" s="43">
        <f t="shared" si="1"/>
        <v>0.7633587786</v>
      </c>
      <c r="K4" s="53" t="s">
        <v>413</v>
      </c>
      <c r="L4" s="54" t="s">
        <v>414</v>
      </c>
      <c r="M4" s="53" t="s">
        <v>415</v>
      </c>
      <c r="N4" s="53"/>
      <c r="O4" s="53"/>
      <c r="P4" s="53"/>
      <c r="Q4" s="53"/>
      <c r="R4" s="53"/>
      <c r="S4" s="53"/>
      <c r="T4" s="53"/>
      <c r="U4" s="53"/>
      <c r="V4" s="53"/>
      <c r="W4" s="53"/>
      <c r="X4" s="53"/>
      <c r="Y4" s="53"/>
      <c r="Z4" s="53"/>
      <c r="AA4" s="53"/>
      <c r="AB4" s="43"/>
      <c r="AC4" s="43"/>
      <c r="AD4" s="53"/>
      <c r="AE4" s="53"/>
      <c r="AF4" s="53"/>
      <c r="AG4" s="53"/>
      <c r="AH4" s="53"/>
      <c r="AI4" s="53"/>
      <c r="AJ4" s="53"/>
      <c r="AK4" s="53"/>
      <c r="AL4" s="53"/>
      <c r="AM4" s="53"/>
      <c r="AN4" s="53"/>
      <c r="AO4" s="53"/>
      <c r="AP4" s="53"/>
      <c r="AQ4" s="53"/>
      <c r="AR4" s="53"/>
      <c r="AS4" s="53"/>
      <c r="AT4" s="53"/>
      <c r="AU4" s="53"/>
      <c r="AV4" s="53"/>
      <c r="AW4" s="53"/>
      <c r="AX4" s="53" t="s">
        <v>416</v>
      </c>
      <c r="AY4" s="43">
        <f t="shared" si="2"/>
        <v>1.428571429</v>
      </c>
      <c r="AZ4" s="53" t="s">
        <v>417</v>
      </c>
      <c r="BA4" s="54" t="s">
        <v>418</v>
      </c>
      <c r="BB4" s="53" t="s">
        <v>419</v>
      </c>
      <c r="BC4" s="43"/>
      <c r="BD4" s="43"/>
      <c r="BE4" s="53"/>
      <c r="BF4" s="53"/>
      <c r="BG4" s="53"/>
      <c r="BH4" s="53"/>
      <c r="BI4" s="53"/>
      <c r="BJ4" s="53"/>
      <c r="BK4" s="53"/>
      <c r="BL4" s="53"/>
      <c r="BM4" s="53"/>
      <c r="BN4" s="53"/>
      <c r="BO4" s="53"/>
      <c r="BP4" s="53"/>
      <c r="BQ4" s="53"/>
      <c r="BR4" s="53"/>
      <c r="BS4" s="43"/>
      <c r="BT4" s="43"/>
      <c r="BU4" s="53"/>
      <c r="BV4" s="53"/>
      <c r="BW4" s="53"/>
      <c r="BX4" s="53"/>
      <c r="BY4" s="53"/>
      <c r="BZ4" s="53"/>
      <c r="CA4" s="53"/>
      <c r="CB4" s="53"/>
      <c r="CC4" s="53"/>
      <c r="CD4" s="53"/>
      <c r="CE4" s="53"/>
      <c r="CF4" s="53"/>
      <c r="CG4" s="53"/>
      <c r="CH4" s="53"/>
      <c r="CI4" s="53"/>
      <c r="CJ4" s="53"/>
      <c r="CK4" s="53"/>
      <c r="CL4" s="53"/>
      <c r="CM4" s="53"/>
      <c r="CN4" s="53"/>
    </row>
    <row r="5">
      <c r="A5" s="43" t="s">
        <v>420</v>
      </c>
      <c r="B5" s="43"/>
      <c r="C5" s="53" t="s">
        <v>288</v>
      </c>
      <c r="D5" s="43" t="s">
        <v>421</v>
      </c>
      <c r="E5" s="43" t="s">
        <v>422</v>
      </c>
      <c r="F5" s="43"/>
      <c r="G5" s="53"/>
      <c r="H5" s="53" t="s">
        <v>263</v>
      </c>
      <c r="I5" s="53" t="s">
        <v>423</v>
      </c>
      <c r="J5" s="43">
        <f t="shared" si="1"/>
        <v>0.4166666667</v>
      </c>
      <c r="K5" s="53" t="s">
        <v>424</v>
      </c>
      <c r="L5" s="54" t="s">
        <v>425</v>
      </c>
      <c r="M5" s="53" t="s">
        <v>415</v>
      </c>
      <c r="N5" s="53"/>
      <c r="O5" s="53"/>
      <c r="P5" s="53"/>
      <c r="Q5" s="53"/>
      <c r="R5" s="53"/>
      <c r="S5" s="53"/>
      <c r="T5" s="53"/>
      <c r="U5" s="53"/>
      <c r="V5" s="53"/>
      <c r="W5" s="53"/>
      <c r="X5" s="53"/>
      <c r="Y5" s="53"/>
      <c r="Z5" s="53"/>
      <c r="AA5" s="53"/>
      <c r="AB5" s="43"/>
      <c r="AC5" s="43"/>
      <c r="AD5" s="53"/>
      <c r="AE5" s="53"/>
      <c r="AF5" s="53"/>
      <c r="AG5" s="53"/>
      <c r="AH5" s="53"/>
      <c r="AI5" s="53"/>
      <c r="AJ5" s="53"/>
      <c r="AK5" s="53"/>
      <c r="AL5" s="53"/>
      <c r="AM5" s="53"/>
      <c r="AN5" s="53"/>
      <c r="AO5" s="53"/>
      <c r="AP5" s="53"/>
      <c r="AQ5" s="53"/>
      <c r="AR5" s="53"/>
      <c r="AS5" s="53"/>
      <c r="AT5" s="53"/>
      <c r="AU5" s="53"/>
      <c r="AV5" s="53"/>
      <c r="AW5" s="53"/>
      <c r="AX5" s="53" t="s">
        <v>426</v>
      </c>
      <c r="AY5" s="43">
        <f t="shared" si="2"/>
        <v>0.5555555556</v>
      </c>
      <c r="AZ5" s="53" t="s">
        <v>427</v>
      </c>
      <c r="BA5" s="54" t="s">
        <v>428</v>
      </c>
      <c r="BB5" s="53" t="s">
        <v>419</v>
      </c>
      <c r="BC5" s="43"/>
      <c r="BD5" s="43"/>
      <c r="BE5" s="53"/>
      <c r="BF5" s="53"/>
      <c r="BG5" s="53"/>
      <c r="BH5" s="53"/>
      <c r="BI5" s="53"/>
      <c r="BJ5" s="53"/>
      <c r="BK5" s="53"/>
      <c r="BL5" s="53"/>
      <c r="BM5" s="53"/>
      <c r="BN5" s="53"/>
      <c r="BO5" s="53"/>
      <c r="BP5" s="53"/>
      <c r="BQ5" s="53"/>
      <c r="BR5" s="53"/>
      <c r="BS5" s="43"/>
      <c r="BT5" s="43"/>
      <c r="BU5" s="53"/>
      <c r="BV5" s="53"/>
      <c r="BW5" s="53"/>
      <c r="BX5" s="53"/>
      <c r="BY5" s="53"/>
      <c r="BZ5" s="53"/>
      <c r="CA5" s="53"/>
      <c r="CB5" s="53"/>
      <c r="CC5" s="53"/>
      <c r="CD5" s="53"/>
      <c r="CE5" s="53"/>
      <c r="CF5" s="53"/>
      <c r="CG5" s="53"/>
      <c r="CH5" s="53"/>
      <c r="CI5" s="53"/>
      <c r="CJ5" s="53"/>
      <c r="CK5" s="53"/>
      <c r="CL5" s="53"/>
      <c r="CM5" s="53"/>
      <c r="CN5" s="53"/>
    </row>
    <row r="6">
      <c r="A6" s="43" t="s">
        <v>429</v>
      </c>
      <c r="B6" s="43"/>
      <c r="C6" s="53" t="s">
        <v>263</v>
      </c>
      <c r="D6" s="43"/>
      <c r="E6" s="43"/>
      <c r="F6" s="43"/>
      <c r="G6" s="53"/>
      <c r="H6" s="53"/>
      <c r="I6" s="53"/>
      <c r="J6" s="53"/>
      <c r="K6" s="53"/>
      <c r="L6" s="54"/>
      <c r="M6" s="53"/>
      <c r="N6" s="53"/>
      <c r="O6" s="53"/>
      <c r="P6" s="53"/>
      <c r="Q6" s="53"/>
      <c r="R6" s="53"/>
      <c r="S6" s="53"/>
      <c r="T6" s="53"/>
      <c r="U6" s="53"/>
      <c r="V6" s="53"/>
      <c r="W6" s="53"/>
      <c r="X6" s="53"/>
      <c r="Y6" s="53"/>
      <c r="Z6" s="53"/>
      <c r="AA6" s="53"/>
      <c r="AB6" s="43"/>
      <c r="AC6" s="43"/>
      <c r="AD6" s="53"/>
      <c r="AE6" s="53"/>
      <c r="AF6" s="53"/>
      <c r="AG6" s="53"/>
      <c r="AH6" s="53"/>
      <c r="AI6" s="53"/>
      <c r="AJ6" s="53"/>
      <c r="AK6" s="53"/>
      <c r="AL6" s="53"/>
      <c r="AM6" s="53"/>
      <c r="AN6" s="53"/>
      <c r="AO6" s="53"/>
      <c r="AP6" s="53"/>
      <c r="AQ6" s="53"/>
      <c r="AR6" s="53"/>
      <c r="AS6" s="53"/>
      <c r="AT6" s="53"/>
      <c r="AU6" s="53"/>
      <c r="AV6" s="53"/>
      <c r="AW6" s="53"/>
      <c r="AX6" s="53"/>
      <c r="AY6" s="43"/>
      <c r="AZ6" s="53"/>
      <c r="BA6" s="54"/>
      <c r="BB6" s="53"/>
      <c r="BC6" s="43"/>
      <c r="BD6" s="43"/>
      <c r="BE6" s="53"/>
      <c r="BF6" s="53"/>
      <c r="BG6" s="53"/>
      <c r="BH6" s="53"/>
      <c r="BI6" s="53"/>
      <c r="BJ6" s="53"/>
      <c r="BK6" s="53"/>
      <c r="BL6" s="53"/>
      <c r="BM6" s="53"/>
      <c r="BN6" s="53"/>
      <c r="BO6" s="53"/>
      <c r="BP6" s="53"/>
      <c r="BQ6" s="53"/>
      <c r="BR6" s="53"/>
      <c r="BS6" s="43"/>
      <c r="BT6" s="43"/>
      <c r="BU6" s="53"/>
      <c r="BV6" s="53"/>
      <c r="BW6" s="53"/>
      <c r="BX6" s="53"/>
      <c r="BY6" s="53"/>
      <c r="BZ6" s="53"/>
      <c r="CA6" s="53"/>
      <c r="CB6" s="53"/>
      <c r="CC6" s="53"/>
      <c r="CD6" s="53"/>
      <c r="CE6" s="53"/>
      <c r="CF6" s="53"/>
      <c r="CG6" s="53"/>
      <c r="CH6" s="53"/>
      <c r="CI6" s="53"/>
      <c r="CJ6" s="53"/>
      <c r="CK6" s="53"/>
      <c r="CL6" s="53"/>
      <c r="CM6" s="53"/>
      <c r="CN6" s="53"/>
    </row>
    <row r="7">
      <c r="A7" s="43" t="s">
        <v>430</v>
      </c>
      <c r="B7" s="43"/>
      <c r="C7" s="53" t="s">
        <v>288</v>
      </c>
      <c r="D7" s="43" t="s">
        <v>431</v>
      </c>
      <c r="E7" s="43" t="s">
        <v>432</v>
      </c>
      <c r="F7" s="43"/>
      <c r="G7" s="53"/>
      <c r="H7" s="53" t="s">
        <v>263</v>
      </c>
      <c r="I7" s="53" t="s">
        <v>433</v>
      </c>
      <c r="J7" s="43">
        <f t="shared" ref="J7:J17" si="3">10/I7</f>
        <v>0.3125</v>
      </c>
      <c r="K7" s="53" t="s">
        <v>287</v>
      </c>
      <c r="L7" s="54" t="s">
        <v>434</v>
      </c>
      <c r="M7" s="53" t="s">
        <v>435</v>
      </c>
      <c r="N7" s="53"/>
      <c r="O7" s="53"/>
      <c r="P7" s="53"/>
      <c r="Q7" s="53"/>
      <c r="R7" s="53"/>
      <c r="S7" s="53"/>
      <c r="T7" s="53"/>
      <c r="U7" s="53"/>
      <c r="V7" s="53"/>
      <c r="W7" s="53"/>
      <c r="X7" s="53"/>
      <c r="Y7" s="53"/>
      <c r="Z7" s="53"/>
      <c r="AA7" s="53"/>
      <c r="AB7" s="43"/>
      <c r="AC7" s="43"/>
      <c r="AD7" s="53"/>
      <c r="AE7" s="53"/>
      <c r="AF7" s="53"/>
      <c r="AG7" s="53"/>
      <c r="AH7" s="53"/>
      <c r="AI7" s="53"/>
      <c r="AJ7" s="53"/>
      <c r="AK7" s="53"/>
      <c r="AL7" s="53"/>
      <c r="AM7" s="53"/>
      <c r="AN7" s="53"/>
      <c r="AO7" s="53"/>
      <c r="AP7" s="53"/>
      <c r="AQ7" s="53"/>
      <c r="AR7" s="53"/>
      <c r="AS7" s="53"/>
      <c r="AT7" s="53"/>
      <c r="AU7" s="53"/>
      <c r="AV7" s="53"/>
      <c r="AW7" s="53"/>
      <c r="AX7" s="53" t="s">
        <v>436</v>
      </c>
      <c r="AY7" s="43">
        <f t="shared" ref="AY7:AY15" si="4">10/AX7</f>
        <v>0.4807692308</v>
      </c>
      <c r="AZ7" s="53" t="s">
        <v>437</v>
      </c>
      <c r="BA7" s="54" t="s">
        <v>438</v>
      </c>
      <c r="BB7" s="53" t="s">
        <v>405</v>
      </c>
      <c r="BC7" s="43"/>
      <c r="BD7" s="43"/>
      <c r="BE7" s="53"/>
      <c r="BF7" s="53"/>
      <c r="BG7" s="53"/>
      <c r="BH7" s="53"/>
      <c r="BI7" s="53"/>
      <c r="BJ7" s="53"/>
      <c r="BK7" s="53"/>
      <c r="BL7" s="53"/>
      <c r="BM7" s="53"/>
      <c r="BN7" s="53"/>
      <c r="BO7" s="53"/>
      <c r="BP7" s="53"/>
      <c r="BQ7" s="53"/>
      <c r="BR7" s="53"/>
      <c r="BS7" s="43"/>
      <c r="BT7" s="43"/>
      <c r="BU7" s="53"/>
      <c r="BV7" s="53"/>
      <c r="BW7" s="53"/>
      <c r="BX7" s="53"/>
      <c r="BY7" s="53"/>
      <c r="BZ7" s="53"/>
      <c r="CA7" s="53"/>
      <c r="CB7" s="53"/>
      <c r="CC7" s="53"/>
      <c r="CD7" s="53"/>
      <c r="CE7" s="53"/>
      <c r="CF7" s="53"/>
      <c r="CG7" s="53"/>
      <c r="CH7" s="53"/>
      <c r="CI7" s="53"/>
      <c r="CJ7" s="53"/>
      <c r="CK7" s="53"/>
      <c r="CL7" s="53"/>
      <c r="CM7" s="53"/>
      <c r="CN7" s="53"/>
    </row>
    <row r="8">
      <c r="A8" s="43" t="s">
        <v>439</v>
      </c>
      <c r="B8" s="43"/>
      <c r="C8" s="53" t="s">
        <v>288</v>
      </c>
      <c r="D8" s="43" t="s">
        <v>440</v>
      </c>
      <c r="E8" s="43" t="s">
        <v>441</v>
      </c>
      <c r="F8" s="43"/>
      <c r="G8" s="53"/>
      <c r="H8" s="53" t="s">
        <v>263</v>
      </c>
      <c r="I8" s="53" t="s">
        <v>426</v>
      </c>
      <c r="J8" s="43">
        <f t="shared" si="3"/>
        <v>0.5555555556</v>
      </c>
      <c r="K8" s="53" t="s">
        <v>442</v>
      </c>
      <c r="L8" s="54" t="s">
        <v>443</v>
      </c>
      <c r="M8" s="53" t="s">
        <v>435</v>
      </c>
      <c r="N8" s="53"/>
      <c r="O8" s="53"/>
      <c r="P8" s="53"/>
      <c r="Q8" s="53"/>
      <c r="R8" s="53"/>
      <c r="S8" s="53"/>
      <c r="T8" s="53"/>
      <c r="U8" s="53"/>
      <c r="V8" s="53"/>
      <c r="W8" s="53"/>
      <c r="X8" s="53"/>
      <c r="Y8" s="53"/>
      <c r="Z8" s="53"/>
      <c r="AA8" s="53"/>
      <c r="AB8" s="43"/>
      <c r="AC8" s="43"/>
      <c r="AD8" s="53"/>
      <c r="AE8" s="53"/>
      <c r="AF8" s="53"/>
      <c r="AG8" s="53"/>
      <c r="AH8" s="53"/>
      <c r="AI8" s="53"/>
      <c r="AJ8" s="53"/>
      <c r="AK8" s="53"/>
      <c r="AL8" s="53"/>
      <c r="AM8" s="53"/>
      <c r="AN8" s="53"/>
      <c r="AO8" s="53"/>
      <c r="AP8" s="53"/>
      <c r="AQ8" s="53"/>
      <c r="AR8" s="53"/>
      <c r="AS8" s="53"/>
      <c r="AT8" s="53"/>
      <c r="AU8" s="53"/>
      <c r="AV8" s="53"/>
      <c r="AW8" s="53"/>
      <c r="AX8" s="53" t="s">
        <v>419</v>
      </c>
      <c r="AY8" s="43">
        <f t="shared" si="4"/>
        <v>1.25</v>
      </c>
      <c r="AZ8" s="53" t="s">
        <v>444</v>
      </c>
      <c r="BA8" s="54" t="s">
        <v>445</v>
      </c>
      <c r="BB8" s="53" t="s">
        <v>416</v>
      </c>
      <c r="BC8" s="43"/>
      <c r="BD8" s="43"/>
      <c r="BE8" s="53"/>
      <c r="BF8" s="53"/>
      <c r="BG8" s="53"/>
      <c r="BH8" s="53"/>
      <c r="BI8" s="53"/>
      <c r="BJ8" s="53"/>
      <c r="BK8" s="53"/>
      <c r="BL8" s="53"/>
      <c r="BM8" s="53"/>
      <c r="BN8" s="53"/>
      <c r="BO8" s="53"/>
      <c r="BP8" s="53"/>
      <c r="BQ8" s="53"/>
      <c r="BR8" s="53"/>
      <c r="BS8" s="43"/>
      <c r="BT8" s="43"/>
      <c r="BU8" s="53"/>
      <c r="BV8" s="53"/>
      <c r="BW8" s="53"/>
      <c r="BX8" s="53"/>
      <c r="BY8" s="53"/>
      <c r="BZ8" s="53"/>
      <c r="CA8" s="53"/>
      <c r="CB8" s="53"/>
      <c r="CC8" s="53"/>
      <c r="CD8" s="53"/>
      <c r="CE8" s="53"/>
      <c r="CF8" s="53"/>
      <c r="CG8" s="53"/>
      <c r="CH8" s="53"/>
      <c r="CI8" s="53"/>
      <c r="CJ8" s="53"/>
      <c r="CK8" s="53"/>
      <c r="CL8" s="53"/>
      <c r="CM8" s="53"/>
      <c r="CN8" s="53"/>
    </row>
    <row r="9">
      <c r="A9" s="43" t="s">
        <v>446</v>
      </c>
      <c r="B9" s="43"/>
      <c r="C9" s="53" t="s">
        <v>288</v>
      </c>
      <c r="D9" s="43" t="s">
        <v>447</v>
      </c>
      <c r="E9" s="43" t="s">
        <v>448</v>
      </c>
      <c r="F9" s="43"/>
      <c r="G9" s="53"/>
      <c r="H9" s="53" t="s">
        <v>288</v>
      </c>
      <c r="I9" s="53" t="s">
        <v>449</v>
      </c>
      <c r="J9" s="43">
        <f t="shared" si="3"/>
        <v>0.4098360656</v>
      </c>
      <c r="K9" s="53" t="s">
        <v>450</v>
      </c>
      <c r="L9" s="54" t="s">
        <v>451</v>
      </c>
      <c r="M9" s="53" t="s">
        <v>435</v>
      </c>
      <c r="N9" s="53"/>
      <c r="O9" s="53"/>
      <c r="P9" s="53"/>
      <c r="Q9" s="53"/>
      <c r="R9" s="53"/>
      <c r="S9" s="53"/>
      <c r="T9" s="53"/>
      <c r="U9" s="53"/>
      <c r="V9" s="53"/>
      <c r="W9" s="53"/>
      <c r="X9" s="53"/>
      <c r="Y9" s="53"/>
      <c r="Z9" s="53"/>
      <c r="AA9" s="53"/>
      <c r="AB9" s="43"/>
      <c r="AC9" s="43"/>
      <c r="AD9" s="53"/>
      <c r="AE9" s="53"/>
      <c r="AF9" s="53"/>
      <c r="AG9" s="53"/>
      <c r="AH9" s="53"/>
      <c r="AI9" s="53"/>
      <c r="AJ9" s="53"/>
      <c r="AK9" s="53"/>
      <c r="AL9" s="53"/>
      <c r="AM9" s="53"/>
      <c r="AN9" s="53"/>
      <c r="AO9" s="53"/>
      <c r="AP9" s="53"/>
      <c r="AQ9" s="53"/>
      <c r="AR9" s="53"/>
      <c r="AS9" s="53"/>
      <c r="AT9" s="53"/>
      <c r="AU9" s="53"/>
      <c r="AV9" s="53"/>
      <c r="AW9" s="53"/>
      <c r="AX9" s="53" t="s">
        <v>452</v>
      </c>
      <c r="AY9" s="43">
        <f t="shared" si="4"/>
        <v>0.5050505051</v>
      </c>
      <c r="AZ9" s="53" t="s">
        <v>453</v>
      </c>
      <c r="BA9" s="54" t="s">
        <v>292</v>
      </c>
      <c r="BB9" s="53" t="s">
        <v>435</v>
      </c>
      <c r="BC9" s="43"/>
      <c r="BD9" s="43"/>
      <c r="BE9" s="53"/>
      <c r="BF9" s="53"/>
      <c r="BG9" s="53"/>
      <c r="BH9" s="53"/>
      <c r="BI9" s="53"/>
      <c r="BJ9" s="53"/>
      <c r="BK9" s="53"/>
      <c r="BL9" s="53"/>
      <c r="BM9" s="53"/>
      <c r="BN9" s="53"/>
      <c r="BO9" s="53"/>
      <c r="BP9" s="53"/>
      <c r="BQ9" s="53"/>
      <c r="BR9" s="53"/>
      <c r="BS9" s="43"/>
      <c r="BT9" s="43"/>
      <c r="BU9" s="53"/>
      <c r="BV9" s="53"/>
      <c r="BW9" s="53"/>
      <c r="BX9" s="53"/>
      <c r="BY9" s="53"/>
      <c r="BZ9" s="53"/>
      <c r="CA9" s="53"/>
      <c r="CB9" s="53"/>
      <c r="CC9" s="53"/>
      <c r="CD9" s="53"/>
      <c r="CE9" s="53"/>
      <c r="CF9" s="53"/>
      <c r="CG9" s="53"/>
      <c r="CH9" s="53"/>
      <c r="CI9" s="53"/>
      <c r="CJ9" s="53"/>
      <c r="CK9" s="53"/>
      <c r="CL9" s="53"/>
      <c r="CM9" s="53"/>
      <c r="CN9" s="53"/>
    </row>
    <row r="10">
      <c r="A10" s="43" t="s">
        <v>454</v>
      </c>
      <c r="B10" s="43"/>
      <c r="C10" s="53" t="s">
        <v>288</v>
      </c>
      <c r="D10" s="43" t="s">
        <v>455</v>
      </c>
      <c r="E10" s="43" t="s">
        <v>456</v>
      </c>
      <c r="F10" s="43"/>
      <c r="G10" s="53"/>
      <c r="H10" s="53" t="s">
        <v>288</v>
      </c>
      <c r="I10" s="53" t="s">
        <v>457</v>
      </c>
      <c r="J10" s="43">
        <f t="shared" si="3"/>
        <v>0.6024096386</v>
      </c>
      <c r="K10" s="53" t="s">
        <v>458</v>
      </c>
      <c r="L10" s="54" t="s">
        <v>459</v>
      </c>
      <c r="M10" s="53" t="s">
        <v>405</v>
      </c>
      <c r="N10" s="53"/>
      <c r="O10" s="53"/>
      <c r="P10" s="53"/>
      <c r="Q10" s="53"/>
      <c r="R10" s="53"/>
      <c r="S10" s="53"/>
      <c r="T10" s="53"/>
      <c r="U10" s="53"/>
      <c r="V10" s="53"/>
      <c r="W10" s="53"/>
      <c r="X10" s="53"/>
      <c r="Y10" s="53"/>
      <c r="Z10" s="53"/>
      <c r="AA10" s="53"/>
      <c r="AB10" s="43"/>
      <c r="AC10" s="43"/>
      <c r="AD10" s="53"/>
      <c r="AE10" s="53"/>
      <c r="AF10" s="53"/>
      <c r="AG10" s="53"/>
      <c r="AH10" s="53"/>
      <c r="AI10" s="53"/>
      <c r="AJ10" s="53"/>
      <c r="AK10" s="53"/>
      <c r="AL10" s="53"/>
      <c r="AM10" s="53"/>
      <c r="AN10" s="53"/>
      <c r="AO10" s="53"/>
      <c r="AP10" s="53"/>
      <c r="AQ10" s="53"/>
      <c r="AR10" s="53"/>
      <c r="AS10" s="53"/>
      <c r="AT10" s="53"/>
      <c r="AU10" s="53"/>
      <c r="AV10" s="53"/>
      <c r="AW10" s="53"/>
      <c r="AX10" s="53" t="s">
        <v>407</v>
      </c>
      <c r="AY10" s="43">
        <f t="shared" si="4"/>
        <v>1.111111111</v>
      </c>
      <c r="AZ10" s="53" t="s">
        <v>460</v>
      </c>
      <c r="BA10" s="54" t="s">
        <v>461</v>
      </c>
      <c r="BB10" s="53" t="s">
        <v>415</v>
      </c>
      <c r="BC10" s="43"/>
      <c r="BD10" s="43"/>
      <c r="BE10" s="53"/>
      <c r="BF10" s="53"/>
      <c r="BG10" s="53"/>
      <c r="BH10" s="53"/>
      <c r="BI10" s="53"/>
      <c r="BJ10" s="53"/>
      <c r="BK10" s="53"/>
      <c r="BL10" s="53"/>
      <c r="BM10" s="53"/>
      <c r="BN10" s="53"/>
      <c r="BO10" s="53"/>
      <c r="BP10" s="53"/>
      <c r="BQ10" s="53"/>
      <c r="BR10" s="53"/>
      <c r="BS10" s="43"/>
      <c r="BT10" s="43"/>
      <c r="BU10" s="53"/>
      <c r="BV10" s="53"/>
      <c r="BW10" s="53"/>
      <c r="BX10" s="53"/>
      <c r="BY10" s="53"/>
      <c r="BZ10" s="53"/>
      <c r="CA10" s="53"/>
      <c r="CB10" s="53"/>
      <c r="CC10" s="53"/>
      <c r="CD10" s="53"/>
      <c r="CE10" s="53"/>
      <c r="CF10" s="53"/>
      <c r="CG10" s="53"/>
      <c r="CH10" s="53"/>
      <c r="CI10" s="53"/>
      <c r="CJ10" s="53"/>
      <c r="CK10" s="53"/>
      <c r="CL10" s="53"/>
      <c r="CM10" s="53"/>
      <c r="CN10" s="53"/>
    </row>
    <row r="11">
      <c r="A11" s="43" t="s">
        <v>462</v>
      </c>
      <c r="B11" s="43"/>
      <c r="C11" s="53" t="s">
        <v>288</v>
      </c>
      <c r="D11" s="43" t="s">
        <v>463</v>
      </c>
      <c r="E11" s="43" t="s">
        <v>464</v>
      </c>
      <c r="F11" s="43"/>
      <c r="G11" s="53"/>
      <c r="H11" s="53" t="s">
        <v>288</v>
      </c>
      <c r="I11" s="53" t="s">
        <v>443</v>
      </c>
      <c r="J11" s="43">
        <f t="shared" si="3"/>
        <v>0.2564102564</v>
      </c>
      <c r="K11" s="53" t="s">
        <v>465</v>
      </c>
      <c r="L11" s="54" t="s">
        <v>425</v>
      </c>
      <c r="M11" s="53" t="s">
        <v>466</v>
      </c>
      <c r="N11" s="53"/>
      <c r="O11" s="53"/>
      <c r="P11" s="53"/>
      <c r="Q11" s="53"/>
      <c r="R11" s="53"/>
      <c r="S11" s="53"/>
      <c r="T11" s="53"/>
      <c r="U11" s="53"/>
      <c r="V11" s="53"/>
      <c r="W11" s="53"/>
      <c r="X11" s="53"/>
      <c r="Y11" s="53"/>
      <c r="Z11" s="53"/>
      <c r="AA11" s="53"/>
      <c r="AB11" s="43"/>
      <c r="AC11" s="43"/>
      <c r="AD11" s="53"/>
      <c r="AE11" s="53"/>
      <c r="AF11" s="53"/>
      <c r="AG11" s="53"/>
      <c r="AH11" s="53"/>
      <c r="AI11" s="53"/>
      <c r="AJ11" s="53"/>
      <c r="AK11" s="53"/>
      <c r="AL11" s="53"/>
      <c r="AM11" s="53"/>
      <c r="AN11" s="53"/>
      <c r="AO11" s="53"/>
      <c r="AP11" s="53"/>
      <c r="AQ11" s="53"/>
      <c r="AR11" s="53"/>
      <c r="AS11" s="53"/>
      <c r="AT11" s="53"/>
      <c r="AU11" s="53"/>
      <c r="AV11" s="53"/>
      <c r="AW11" s="53"/>
      <c r="AX11" s="53" t="s">
        <v>407</v>
      </c>
      <c r="AY11" s="43">
        <f t="shared" si="4"/>
        <v>1.111111111</v>
      </c>
      <c r="AZ11" s="53" t="s">
        <v>467</v>
      </c>
      <c r="BA11" s="54" t="s">
        <v>468</v>
      </c>
      <c r="BB11" s="53" t="s">
        <v>415</v>
      </c>
      <c r="BC11" s="43"/>
      <c r="BD11" s="43"/>
      <c r="BE11" s="53"/>
      <c r="BF11" s="53"/>
      <c r="BG11" s="53"/>
      <c r="BH11" s="53"/>
      <c r="BI11" s="53"/>
      <c r="BJ11" s="53"/>
      <c r="BK11" s="53"/>
      <c r="BL11" s="53"/>
      <c r="BM11" s="53"/>
      <c r="BN11" s="53"/>
      <c r="BO11" s="53"/>
      <c r="BP11" s="53"/>
      <c r="BQ11" s="53"/>
      <c r="BR11" s="53"/>
      <c r="BS11" s="43"/>
      <c r="BT11" s="43"/>
      <c r="BU11" s="53"/>
      <c r="BV11" s="53"/>
      <c r="BW11" s="53"/>
      <c r="BX11" s="53"/>
      <c r="BY11" s="53"/>
      <c r="BZ11" s="53"/>
      <c r="CA11" s="53"/>
      <c r="CB11" s="53"/>
      <c r="CC11" s="53"/>
      <c r="CD11" s="53"/>
      <c r="CE11" s="53"/>
      <c r="CF11" s="53"/>
      <c r="CG11" s="53"/>
      <c r="CH11" s="53"/>
      <c r="CI11" s="53"/>
      <c r="CJ11" s="53"/>
      <c r="CK11" s="53"/>
      <c r="CL11" s="53"/>
      <c r="CM11" s="53"/>
      <c r="CN11" s="53"/>
    </row>
    <row r="12">
      <c r="A12" s="43" t="s">
        <v>469</v>
      </c>
      <c r="B12" s="43"/>
      <c r="C12" s="53" t="s">
        <v>288</v>
      </c>
      <c r="D12" s="43" t="s">
        <v>470</v>
      </c>
      <c r="E12" s="43" t="s">
        <v>471</v>
      </c>
      <c r="F12" s="43"/>
      <c r="G12" s="53"/>
      <c r="H12" s="53" t="s">
        <v>288</v>
      </c>
      <c r="I12" s="53" t="s">
        <v>472</v>
      </c>
      <c r="J12" s="43">
        <f t="shared" si="3"/>
        <v>0.9259259259</v>
      </c>
      <c r="K12" s="53" t="s">
        <v>473</v>
      </c>
      <c r="L12" s="54" t="s">
        <v>474</v>
      </c>
      <c r="M12" s="53" t="s">
        <v>435</v>
      </c>
      <c r="N12" s="53"/>
      <c r="O12" s="53"/>
      <c r="P12" s="53"/>
      <c r="Q12" s="53"/>
      <c r="R12" s="53"/>
      <c r="S12" s="53"/>
      <c r="T12" s="53"/>
      <c r="U12" s="53"/>
      <c r="V12" s="53"/>
      <c r="W12" s="53"/>
      <c r="X12" s="53"/>
      <c r="Y12" s="53"/>
      <c r="Z12" s="53"/>
      <c r="AA12" s="53"/>
      <c r="AB12" s="43"/>
      <c r="AC12" s="43"/>
      <c r="AD12" s="53"/>
      <c r="AE12" s="53"/>
      <c r="AF12" s="53"/>
      <c r="AG12" s="53"/>
      <c r="AH12" s="53"/>
      <c r="AI12" s="53"/>
      <c r="AJ12" s="53"/>
      <c r="AK12" s="53"/>
      <c r="AL12" s="53"/>
      <c r="AM12" s="53"/>
      <c r="AN12" s="53"/>
      <c r="AO12" s="53"/>
      <c r="AP12" s="53"/>
      <c r="AQ12" s="53"/>
      <c r="AR12" s="53"/>
      <c r="AS12" s="53"/>
      <c r="AT12" s="53"/>
      <c r="AU12" s="53"/>
      <c r="AV12" s="53"/>
      <c r="AW12" s="53"/>
      <c r="AX12" s="53" t="s">
        <v>475</v>
      </c>
      <c r="AY12" s="43">
        <f t="shared" si="4"/>
        <v>0.9090909091</v>
      </c>
      <c r="AZ12" s="53" t="s">
        <v>476</v>
      </c>
      <c r="BA12" s="54" t="s">
        <v>475</v>
      </c>
      <c r="BB12" s="53" t="s">
        <v>415</v>
      </c>
      <c r="BC12" s="43"/>
      <c r="BD12" s="43"/>
      <c r="BE12" s="53"/>
      <c r="BF12" s="53"/>
      <c r="BG12" s="53"/>
      <c r="BH12" s="53"/>
      <c r="BI12" s="53"/>
      <c r="BJ12" s="53"/>
      <c r="BK12" s="53"/>
      <c r="BL12" s="53"/>
      <c r="BM12" s="53"/>
      <c r="BN12" s="53"/>
      <c r="BO12" s="53"/>
      <c r="BP12" s="53"/>
      <c r="BQ12" s="53"/>
      <c r="BR12" s="53"/>
      <c r="BS12" s="43"/>
      <c r="BT12" s="43"/>
      <c r="BU12" s="53"/>
      <c r="BV12" s="53"/>
      <c r="BW12" s="53"/>
      <c r="BX12" s="53"/>
      <c r="BY12" s="53"/>
      <c r="BZ12" s="53"/>
      <c r="CA12" s="53"/>
      <c r="CB12" s="53"/>
      <c r="CC12" s="53"/>
      <c r="CD12" s="53"/>
      <c r="CE12" s="53"/>
      <c r="CF12" s="53"/>
      <c r="CG12" s="53"/>
      <c r="CH12" s="53"/>
      <c r="CI12" s="53"/>
      <c r="CJ12" s="53"/>
      <c r="CK12" s="53"/>
      <c r="CL12" s="53"/>
      <c r="CM12" s="53"/>
      <c r="CN12" s="53"/>
    </row>
    <row r="13">
      <c r="A13" s="43" t="s">
        <v>477</v>
      </c>
      <c r="B13" s="43"/>
      <c r="C13" s="53" t="s">
        <v>288</v>
      </c>
      <c r="D13" s="43" t="s">
        <v>478</v>
      </c>
      <c r="E13" s="43" t="s">
        <v>479</v>
      </c>
      <c r="F13" s="43"/>
      <c r="G13" s="43"/>
      <c r="H13" s="53" t="s">
        <v>288</v>
      </c>
      <c r="I13" s="53" t="s">
        <v>425</v>
      </c>
      <c r="J13" s="43">
        <f t="shared" si="3"/>
        <v>0.625</v>
      </c>
      <c r="K13" s="53" t="s">
        <v>480</v>
      </c>
      <c r="L13" s="54" t="s">
        <v>481</v>
      </c>
      <c r="M13" s="53" t="s">
        <v>466</v>
      </c>
      <c r="N13" s="52"/>
      <c r="O13" s="52"/>
      <c r="P13" s="52"/>
      <c r="Q13" s="52"/>
      <c r="R13" s="52"/>
      <c r="S13" s="52"/>
      <c r="T13" s="52"/>
      <c r="U13" s="52"/>
      <c r="V13" s="52"/>
      <c r="W13" s="52"/>
      <c r="X13" s="52"/>
      <c r="Y13" s="52"/>
      <c r="Z13" s="52"/>
      <c r="AA13" s="52"/>
      <c r="AB13" s="43"/>
      <c r="AC13" s="43"/>
      <c r="AD13" s="52"/>
      <c r="AE13" s="52"/>
      <c r="AF13" s="52"/>
      <c r="AG13" s="52"/>
      <c r="AH13" s="52"/>
      <c r="AI13" s="52"/>
      <c r="AJ13" s="52"/>
      <c r="AK13" s="52"/>
      <c r="AL13" s="52"/>
      <c r="AM13" s="52"/>
      <c r="AN13" s="52"/>
      <c r="AO13" s="52"/>
      <c r="AP13" s="52"/>
      <c r="AQ13" s="52"/>
      <c r="AR13" s="52"/>
      <c r="AS13" s="52"/>
      <c r="AT13" s="52"/>
      <c r="AU13" s="52"/>
      <c r="AV13" s="52"/>
      <c r="AW13" s="52"/>
      <c r="AX13" s="53" t="s">
        <v>482</v>
      </c>
      <c r="AY13" s="43">
        <f t="shared" si="4"/>
        <v>0.6666666667</v>
      </c>
      <c r="AZ13" s="53" t="s">
        <v>483</v>
      </c>
      <c r="BA13" s="54" t="s">
        <v>290</v>
      </c>
      <c r="BB13" s="53" t="s">
        <v>415</v>
      </c>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row>
    <row r="14">
      <c r="A14" s="43" t="s">
        <v>484</v>
      </c>
      <c r="B14" s="43"/>
      <c r="C14" s="53" t="s">
        <v>288</v>
      </c>
      <c r="D14" s="43" t="s">
        <v>485</v>
      </c>
      <c r="E14" s="43" t="s">
        <v>486</v>
      </c>
      <c r="F14" s="43"/>
      <c r="G14" s="53"/>
      <c r="H14" s="53" t="s">
        <v>263</v>
      </c>
      <c r="I14" s="53" t="s">
        <v>487</v>
      </c>
      <c r="J14" s="43">
        <f t="shared" si="3"/>
        <v>0.3021148036</v>
      </c>
      <c r="K14" s="53" t="s">
        <v>488</v>
      </c>
      <c r="L14" s="54" t="s">
        <v>489</v>
      </c>
      <c r="M14" s="53" t="s">
        <v>435</v>
      </c>
      <c r="N14" s="53"/>
      <c r="O14" s="53"/>
      <c r="P14" s="53"/>
      <c r="Q14" s="53"/>
      <c r="R14" s="53"/>
      <c r="S14" s="53"/>
      <c r="T14" s="53"/>
      <c r="U14" s="53"/>
      <c r="V14" s="53"/>
      <c r="W14" s="53"/>
      <c r="X14" s="53"/>
      <c r="Y14" s="53"/>
      <c r="Z14" s="53"/>
      <c r="AA14" s="53"/>
      <c r="AB14" s="43"/>
      <c r="AC14" s="43"/>
      <c r="AD14" s="53"/>
      <c r="AE14" s="53"/>
      <c r="AF14" s="53"/>
      <c r="AG14" s="53"/>
      <c r="AH14" s="53"/>
      <c r="AI14" s="53"/>
      <c r="AJ14" s="53"/>
      <c r="AK14" s="53"/>
      <c r="AL14" s="53"/>
      <c r="AM14" s="53"/>
      <c r="AN14" s="53"/>
      <c r="AO14" s="53"/>
      <c r="AP14" s="53"/>
      <c r="AQ14" s="53"/>
      <c r="AR14" s="53"/>
      <c r="AS14" s="53"/>
      <c r="AT14" s="53"/>
      <c r="AU14" s="53"/>
      <c r="AV14" s="53"/>
      <c r="AW14" s="53"/>
      <c r="AX14" s="53" t="s">
        <v>490</v>
      </c>
      <c r="AY14" s="43">
        <f t="shared" si="4"/>
        <v>0.5800464037</v>
      </c>
      <c r="AZ14" s="53" t="s">
        <v>491</v>
      </c>
      <c r="BA14" s="54" t="s">
        <v>423</v>
      </c>
      <c r="BB14" s="53" t="s">
        <v>408</v>
      </c>
      <c r="BC14" s="43"/>
      <c r="BD14" s="43"/>
      <c r="BE14" s="53"/>
      <c r="BF14" s="53"/>
      <c r="BG14" s="53"/>
      <c r="BH14" s="53"/>
      <c r="BI14" s="53"/>
      <c r="BJ14" s="53"/>
      <c r="BK14" s="53"/>
      <c r="BL14" s="53"/>
      <c r="BM14" s="53"/>
      <c r="BN14" s="53"/>
      <c r="BO14" s="53"/>
      <c r="BP14" s="53"/>
      <c r="BQ14" s="53"/>
      <c r="BR14" s="53"/>
      <c r="BS14" s="52"/>
      <c r="BT14" s="52"/>
      <c r="BU14" s="53"/>
      <c r="BV14" s="53"/>
      <c r="BW14" s="53"/>
      <c r="BX14" s="53"/>
      <c r="BY14" s="53"/>
      <c r="BZ14" s="53"/>
      <c r="CA14" s="53"/>
      <c r="CB14" s="53"/>
      <c r="CC14" s="53"/>
      <c r="CD14" s="53"/>
      <c r="CE14" s="53"/>
      <c r="CF14" s="53"/>
      <c r="CG14" s="53"/>
      <c r="CH14" s="53"/>
      <c r="CI14" s="53"/>
      <c r="CJ14" s="53"/>
      <c r="CK14" s="53"/>
      <c r="CL14" s="53"/>
      <c r="CM14" s="53"/>
      <c r="CN14" s="53"/>
    </row>
    <row r="15">
      <c r="A15" s="43" t="s">
        <v>492</v>
      </c>
      <c r="B15" s="43"/>
      <c r="C15" s="53" t="s">
        <v>288</v>
      </c>
      <c r="D15" s="43" t="s">
        <v>493</v>
      </c>
      <c r="E15" s="43" t="s">
        <v>494</v>
      </c>
      <c r="F15" s="43"/>
      <c r="G15" s="53"/>
      <c r="H15" s="53" t="s">
        <v>263</v>
      </c>
      <c r="I15" s="53" t="s">
        <v>495</v>
      </c>
      <c r="J15" s="43">
        <f t="shared" si="3"/>
        <v>0.2127659574</v>
      </c>
      <c r="K15" s="53" t="s">
        <v>496</v>
      </c>
      <c r="L15" s="54" t="s">
        <v>497</v>
      </c>
      <c r="M15" s="53" t="s">
        <v>435</v>
      </c>
      <c r="N15" s="53"/>
      <c r="O15" s="53"/>
      <c r="P15" s="53"/>
      <c r="Q15" s="53"/>
      <c r="R15" s="53"/>
      <c r="S15" s="53"/>
      <c r="T15" s="53"/>
      <c r="U15" s="53"/>
      <c r="V15" s="53"/>
      <c r="W15" s="53"/>
      <c r="X15" s="53"/>
      <c r="Y15" s="53"/>
      <c r="Z15" s="53"/>
      <c r="AA15" s="53"/>
      <c r="AB15" s="43"/>
      <c r="AC15" s="43"/>
      <c r="AD15" s="53"/>
      <c r="AE15" s="53"/>
      <c r="AF15" s="53"/>
      <c r="AG15" s="53"/>
      <c r="AH15" s="53"/>
      <c r="AI15" s="53"/>
      <c r="AJ15" s="53"/>
      <c r="AK15" s="53"/>
      <c r="AL15" s="53"/>
      <c r="AM15" s="53"/>
      <c r="AN15" s="53"/>
      <c r="AO15" s="53"/>
      <c r="AP15" s="53"/>
      <c r="AQ15" s="53"/>
      <c r="AR15" s="53"/>
      <c r="AS15" s="53"/>
      <c r="AT15" s="53"/>
      <c r="AU15" s="53"/>
      <c r="AV15" s="53"/>
      <c r="AW15" s="53"/>
      <c r="AX15" s="53" t="s">
        <v>498</v>
      </c>
      <c r="AY15" s="43">
        <f t="shared" si="4"/>
        <v>1.100110011</v>
      </c>
      <c r="AZ15" s="53" t="s">
        <v>499</v>
      </c>
      <c r="BA15" s="54" t="s">
        <v>500</v>
      </c>
      <c r="BB15" s="53" t="s">
        <v>416</v>
      </c>
      <c r="BC15" s="43"/>
      <c r="BD15" s="43"/>
      <c r="BE15" s="53"/>
      <c r="BF15" s="53"/>
      <c r="BG15" s="53"/>
      <c r="BH15" s="52"/>
      <c r="BI15" s="53"/>
      <c r="BJ15" s="53"/>
      <c r="BK15" s="53"/>
      <c r="BL15" s="53"/>
      <c r="BM15" s="53"/>
      <c r="BN15" s="53"/>
      <c r="BO15" s="53"/>
      <c r="BP15" s="53"/>
      <c r="BQ15" s="53"/>
      <c r="BR15" s="53"/>
      <c r="BS15" s="43"/>
      <c r="BT15" s="43"/>
      <c r="BU15" s="53"/>
      <c r="BV15" s="53"/>
      <c r="BW15" s="53"/>
      <c r="BX15" s="53"/>
      <c r="BY15" s="53"/>
      <c r="BZ15" s="53"/>
      <c r="CA15" s="53"/>
      <c r="CB15" s="53"/>
      <c r="CC15" s="53"/>
      <c r="CD15" s="53"/>
      <c r="CE15" s="53"/>
      <c r="CF15" s="53"/>
      <c r="CG15" s="53"/>
      <c r="CH15" s="53"/>
      <c r="CI15" s="53"/>
      <c r="CJ15" s="53"/>
      <c r="CK15" s="53"/>
      <c r="CL15" s="53"/>
      <c r="CM15" s="53"/>
      <c r="CN15" s="53"/>
    </row>
    <row r="16">
      <c r="A16" s="43" t="s">
        <v>501</v>
      </c>
      <c r="B16" s="43"/>
      <c r="C16" s="53" t="s">
        <v>288</v>
      </c>
      <c r="D16" s="43"/>
      <c r="E16" s="43"/>
      <c r="F16" s="43"/>
      <c r="G16" s="53"/>
      <c r="H16" s="53" t="s">
        <v>288</v>
      </c>
      <c r="I16" s="53" t="s">
        <v>502</v>
      </c>
      <c r="J16" s="43">
        <f t="shared" si="3"/>
        <v>0.4336513443</v>
      </c>
      <c r="K16" s="53" t="s">
        <v>503</v>
      </c>
      <c r="L16" s="54" t="s">
        <v>504</v>
      </c>
      <c r="M16" s="53">
        <v>3.0</v>
      </c>
      <c r="N16" s="53"/>
      <c r="O16" s="53"/>
      <c r="P16" s="53"/>
      <c r="Q16" s="53"/>
      <c r="R16" s="53"/>
      <c r="S16" s="53"/>
      <c r="T16" s="53"/>
      <c r="U16" s="53"/>
      <c r="V16" s="53"/>
      <c r="W16" s="53"/>
      <c r="X16" s="53"/>
      <c r="Y16" s="53"/>
      <c r="Z16" s="53"/>
      <c r="AA16" s="53"/>
      <c r="AB16" s="43"/>
      <c r="AC16" s="4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5"/>
      <c r="BB16" s="53"/>
      <c r="BC16" s="43"/>
      <c r="BD16" s="43"/>
      <c r="BE16" s="53"/>
      <c r="BF16" s="53"/>
      <c r="BG16" s="53"/>
      <c r="BH16" s="53"/>
      <c r="BI16" s="53"/>
      <c r="BJ16" s="53"/>
      <c r="BK16" s="53"/>
      <c r="BL16" s="53"/>
      <c r="BM16" s="53"/>
      <c r="BN16" s="53"/>
      <c r="BO16" s="53"/>
      <c r="BP16" s="53"/>
      <c r="BQ16" s="53"/>
      <c r="BR16" s="53"/>
      <c r="BS16" s="43"/>
      <c r="BT16" s="43"/>
      <c r="BU16" s="53"/>
      <c r="BV16" s="53"/>
      <c r="BW16" s="53"/>
      <c r="BX16" s="53"/>
      <c r="BY16" s="53"/>
      <c r="BZ16" s="53"/>
      <c r="CA16" s="53"/>
      <c r="CB16" s="53"/>
      <c r="CC16" s="53"/>
      <c r="CD16" s="53"/>
      <c r="CE16" s="53"/>
      <c r="CF16" s="53"/>
      <c r="CG16" s="53"/>
      <c r="CH16" s="53"/>
      <c r="CI16" s="53"/>
      <c r="CJ16" s="53"/>
      <c r="CK16" s="53"/>
      <c r="CL16" s="53"/>
      <c r="CM16" s="53"/>
      <c r="CN16" s="53"/>
    </row>
    <row r="17">
      <c r="A17" s="39" t="s">
        <v>505</v>
      </c>
      <c r="B17" s="46"/>
      <c r="C17" s="53" t="s">
        <v>288</v>
      </c>
      <c r="D17" s="46"/>
      <c r="E17" s="46"/>
      <c r="F17" s="46"/>
      <c r="G17" s="46"/>
      <c r="H17" s="53" t="s">
        <v>288</v>
      </c>
      <c r="I17" s="53" t="s">
        <v>506</v>
      </c>
      <c r="J17" s="43">
        <f t="shared" si="3"/>
        <v>0.6747638327</v>
      </c>
      <c r="K17" s="53" t="s">
        <v>507</v>
      </c>
      <c r="L17" s="54" t="s">
        <v>508</v>
      </c>
      <c r="M17" s="53">
        <v>2.0</v>
      </c>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51"/>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row>
    <row r="18">
      <c r="A18" s="46"/>
      <c r="B18" s="46"/>
      <c r="C18" s="46"/>
      <c r="D18" s="46"/>
      <c r="E18" s="46"/>
      <c r="F18" s="46"/>
      <c r="G18" s="46"/>
      <c r="H18" s="46"/>
      <c r="I18" s="46"/>
      <c r="J18" s="46"/>
      <c r="K18" s="46"/>
      <c r="L18" s="51"/>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51"/>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row>
    <row r="19">
      <c r="A19" s="46"/>
      <c r="B19" s="46"/>
      <c r="C19" s="46"/>
      <c r="D19" s="46"/>
      <c r="E19" s="46"/>
      <c r="F19" s="46"/>
      <c r="G19" s="46"/>
      <c r="H19" s="46"/>
      <c r="I19" s="46"/>
      <c r="J19" s="46"/>
      <c r="K19" s="46"/>
      <c r="L19" s="51"/>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51"/>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row>
    <row r="20">
      <c r="A20" s="46"/>
      <c r="B20" s="46"/>
      <c r="C20" s="46"/>
      <c r="D20" s="46"/>
      <c r="E20" s="46"/>
      <c r="F20" s="46"/>
      <c r="G20" s="46"/>
      <c r="H20" s="46"/>
      <c r="I20" s="46"/>
      <c r="J20" s="46"/>
      <c r="K20" s="46"/>
      <c r="L20" s="51"/>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51"/>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row>
    <row r="21">
      <c r="A21" s="46"/>
      <c r="B21" s="46"/>
      <c r="C21" s="46"/>
      <c r="D21" s="46"/>
      <c r="E21" s="46"/>
      <c r="F21" s="46"/>
      <c r="G21" s="46"/>
      <c r="H21" s="46"/>
      <c r="I21" s="46"/>
      <c r="J21" s="46"/>
      <c r="K21" s="46"/>
      <c r="L21" s="51"/>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51"/>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row>
    <row r="22">
      <c r="A22" s="46"/>
      <c r="B22" s="46"/>
      <c r="C22" s="46"/>
      <c r="D22" s="46"/>
      <c r="E22" s="46"/>
      <c r="F22" s="46"/>
      <c r="G22" s="46"/>
      <c r="H22" s="46"/>
      <c r="I22" s="46"/>
      <c r="J22" s="46"/>
      <c r="K22" s="46"/>
      <c r="L22" s="51"/>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51"/>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row>
    <row r="23">
      <c r="A23" s="46"/>
      <c r="B23" s="46"/>
      <c r="C23" s="46"/>
      <c r="D23" s="46"/>
      <c r="E23" s="46"/>
      <c r="F23" s="46"/>
      <c r="G23" s="46"/>
      <c r="H23" s="46"/>
      <c r="I23" s="46"/>
      <c r="J23" s="46"/>
      <c r="K23" s="46"/>
      <c r="L23" s="51"/>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51"/>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row>
    <row r="24">
      <c r="A24" s="46"/>
      <c r="B24" s="46"/>
      <c r="C24" s="46"/>
      <c r="D24" s="46"/>
      <c r="E24" s="46"/>
      <c r="F24" s="46"/>
      <c r="G24" s="46"/>
      <c r="H24" s="46"/>
      <c r="I24" s="46"/>
      <c r="J24" s="46"/>
      <c r="K24" s="46"/>
      <c r="L24" s="51"/>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51"/>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row>
    <row r="25">
      <c r="A25" s="46"/>
      <c r="B25" s="46"/>
      <c r="C25" s="46"/>
      <c r="D25" s="46"/>
      <c r="E25" s="46"/>
      <c r="F25" s="46"/>
      <c r="G25" s="46"/>
      <c r="H25" s="46"/>
      <c r="I25" s="46"/>
      <c r="J25" s="46"/>
      <c r="K25" s="46"/>
      <c r="L25" s="51"/>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51"/>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row>
    <row r="26">
      <c r="A26" s="46"/>
      <c r="B26" s="46"/>
      <c r="C26" s="46"/>
      <c r="D26" s="46"/>
      <c r="E26" s="46"/>
      <c r="F26" s="46"/>
      <c r="G26" s="46"/>
      <c r="H26" s="46"/>
      <c r="I26" s="46"/>
      <c r="J26" s="46"/>
      <c r="K26" s="46"/>
      <c r="L26" s="51"/>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51"/>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row>
    <row r="27">
      <c r="A27" s="46"/>
      <c r="B27" s="46"/>
      <c r="C27" s="46"/>
      <c r="D27" s="46"/>
      <c r="E27" s="46"/>
      <c r="F27" s="46"/>
      <c r="G27" s="46"/>
      <c r="H27" s="46"/>
      <c r="I27" s="46"/>
      <c r="J27" s="46"/>
      <c r="K27" s="46"/>
      <c r="L27" s="51"/>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51"/>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row>
    <row r="28">
      <c r="A28" s="46"/>
      <c r="B28" s="46"/>
      <c r="C28" s="46"/>
      <c r="D28" s="46"/>
      <c r="E28" s="46"/>
      <c r="F28" s="46"/>
      <c r="G28" s="46"/>
      <c r="H28" s="46"/>
      <c r="I28" s="46"/>
      <c r="J28" s="46"/>
      <c r="K28" s="46"/>
      <c r="L28" s="51"/>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51"/>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row>
    <row r="29">
      <c r="A29" s="46"/>
      <c r="B29" s="46"/>
      <c r="C29" s="46"/>
      <c r="D29" s="46"/>
      <c r="E29" s="46"/>
      <c r="F29" s="46"/>
      <c r="G29" s="46"/>
      <c r="H29" s="46"/>
      <c r="I29" s="46"/>
      <c r="J29" s="46"/>
      <c r="K29" s="46"/>
      <c r="L29" s="51"/>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51"/>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row>
    <row r="30">
      <c r="A30" s="46"/>
      <c r="B30" s="46"/>
      <c r="C30" s="46"/>
      <c r="D30" s="46"/>
      <c r="E30" s="46"/>
      <c r="F30" s="46"/>
      <c r="G30" s="46"/>
      <c r="H30" s="46"/>
      <c r="I30" s="46"/>
      <c r="J30" s="46"/>
      <c r="K30" s="46"/>
      <c r="L30" s="51"/>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51"/>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row>
    <row r="31">
      <c r="A31" s="46"/>
      <c r="B31" s="46"/>
      <c r="C31" s="46"/>
      <c r="D31" s="46"/>
      <c r="E31" s="46"/>
      <c r="F31" s="46"/>
      <c r="G31" s="46"/>
      <c r="H31" s="46"/>
      <c r="I31" s="46"/>
      <c r="J31" s="46"/>
      <c r="K31" s="46"/>
      <c r="L31" s="51"/>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51"/>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row>
    <row r="32">
      <c r="A32" s="46"/>
      <c r="B32" s="46"/>
      <c r="C32" s="46"/>
      <c r="D32" s="46"/>
      <c r="E32" s="46"/>
      <c r="F32" s="46"/>
      <c r="G32" s="46"/>
      <c r="H32" s="46"/>
      <c r="I32" s="46"/>
      <c r="J32" s="46"/>
      <c r="K32" s="46"/>
      <c r="L32" s="51"/>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51"/>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row>
    <row r="33">
      <c r="A33" s="46"/>
      <c r="B33" s="46"/>
      <c r="C33" s="46"/>
      <c r="D33" s="46"/>
      <c r="E33" s="46"/>
      <c r="F33" s="46"/>
      <c r="G33" s="46"/>
      <c r="H33" s="46"/>
      <c r="I33" s="46"/>
      <c r="J33" s="46"/>
      <c r="K33" s="46"/>
      <c r="L33" s="51"/>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51"/>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row>
    <row r="34">
      <c r="A34" s="46"/>
      <c r="B34" s="46"/>
      <c r="C34" s="46"/>
      <c r="D34" s="46"/>
      <c r="E34" s="46"/>
      <c r="F34" s="46"/>
      <c r="G34" s="46"/>
      <c r="H34" s="46"/>
      <c r="I34" s="46"/>
      <c r="J34" s="46"/>
      <c r="K34" s="46"/>
      <c r="L34" s="51"/>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51"/>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row>
    <row r="35">
      <c r="A35" s="46"/>
      <c r="B35" s="46"/>
      <c r="C35" s="46"/>
      <c r="D35" s="46"/>
      <c r="E35" s="46"/>
      <c r="F35" s="46"/>
      <c r="G35" s="46"/>
      <c r="H35" s="46"/>
      <c r="I35" s="46"/>
      <c r="J35" s="46"/>
      <c r="K35" s="46"/>
      <c r="L35" s="51"/>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51"/>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row>
    <row r="36">
      <c r="A36" s="46"/>
      <c r="B36" s="46"/>
      <c r="C36" s="46"/>
      <c r="D36" s="46"/>
      <c r="E36" s="46"/>
      <c r="F36" s="46"/>
      <c r="G36" s="46"/>
      <c r="H36" s="46"/>
      <c r="I36" s="46"/>
      <c r="J36" s="46"/>
      <c r="K36" s="46"/>
      <c r="L36" s="51"/>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51"/>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row>
    <row r="37">
      <c r="A37" s="46"/>
      <c r="B37" s="46"/>
      <c r="C37" s="46"/>
      <c r="D37" s="46"/>
      <c r="E37" s="46"/>
      <c r="F37" s="46"/>
      <c r="G37" s="46"/>
      <c r="H37" s="46"/>
      <c r="I37" s="46"/>
      <c r="J37" s="46"/>
      <c r="K37" s="46"/>
      <c r="L37" s="51"/>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51"/>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row>
    <row r="38">
      <c r="A38" s="46"/>
      <c r="B38" s="46"/>
      <c r="C38" s="46"/>
      <c r="D38" s="46"/>
      <c r="E38" s="46"/>
      <c r="F38" s="46"/>
      <c r="G38" s="46"/>
      <c r="H38" s="46"/>
      <c r="I38" s="46"/>
      <c r="J38" s="46"/>
      <c r="K38" s="46"/>
      <c r="L38" s="51"/>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51"/>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row>
    <row r="39">
      <c r="A39" s="46"/>
      <c r="B39" s="46"/>
      <c r="C39" s="46"/>
      <c r="D39" s="46"/>
      <c r="E39" s="46"/>
      <c r="F39" s="46"/>
      <c r="G39" s="46"/>
      <c r="H39" s="46"/>
      <c r="I39" s="46"/>
      <c r="J39" s="46"/>
      <c r="K39" s="46"/>
      <c r="L39" s="51"/>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51"/>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row>
    <row r="40">
      <c r="A40" s="46"/>
      <c r="B40" s="46"/>
      <c r="C40" s="46"/>
      <c r="D40" s="46"/>
      <c r="E40" s="46"/>
      <c r="F40" s="46"/>
      <c r="G40" s="46"/>
      <c r="H40" s="46"/>
      <c r="I40" s="46"/>
      <c r="J40" s="46"/>
      <c r="K40" s="46"/>
      <c r="L40" s="51"/>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51"/>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row>
    <row r="41">
      <c r="A41" s="46"/>
      <c r="B41" s="46"/>
      <c r="C41" s="46"/>
      <c r="D41" s="46"/>
      <c r="E41" s="46"/>
      <c r="F41" s="46"/>
      <c r="G41" s="46"/>
      <c r="H41" s="46"/>
      <c r="I41" s="46"/>
      <c r="J41" s="46"/>
      <c r="K41" s="46"/>
      <c r="L41" s="51"/>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51"/>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row>
    <row r="42">
      <c r="A42" s="46"/>
      <c r="B42" s="46"/>
      <c r="C42" s="46"/>
      <c r="D42" s="46"/>
      <c r="E42" s="46"/>
      <c r="F42" s="46"/>
      <c r="G42" s="46"/>
      <c r="H42" s="46"/>
      <c r="I42" s="46"/>
      <c r="J42" s="46"/>
      <c r="K42" s="46"/>
      <c r="L42" s="51"/>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51"/>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row>
    <row r="43">
      <c r="A43" s="46"/>
      <c r="B43" s="46"/>
      <c r="C43" s="46"/>
      <c r="D43" s="46"/>
      <c r="E43" s="46"/>
      <c r="F43" s="46"/>
      <c r="G43" s="46"/>
      <c r="H43" s="46"/>
      <c r="I43" s="46"/>
      <c r="J43" s="46"/>
      <c r="K43" s="46"/>
      <c r="L43" s="51"/>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51"/>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row>
    <row r="44">
      <c r="A44" s="46"/>
      <c r="B44" s="46"/>
      <c r="C44" s="46"/>
      <c r="D44" s="46"/>
      <c r="E44" s="46"/>
      <c r="F44" s="46"/>
      <c r="G44" s="46"/>
      <c r="H44" s="46"/>
      <c r="I44" s="46"/>
      <c r="J44" s="46"/>
      <c r="K44" s="46"/>
      <c r="L44" s="51"/>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51"/>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row>
    <row r="45">
      <c r="A45" s="46"/>
      <c r="B45" s="46"/>
      <c r="C45" s="46"/>
      <c r="D45" s="46"/>
      <c r="E45" s="46"/>
      <c r="F45" s="46"/>
      <c r="G45" s="46"/>
      <c r="H45" s="46"/>
      <c r="I45" s="46"/>
      <c r="J45" s="46"/>
      <c r="K45" s="46"/>
      <c r="L45" s="51"/>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51"/>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row>
    <row r="46">
      <c r="A46" s="46"/>
      <c r="B46" s="46"/>
      <c r="C46" s="46"/>
      <c r="D46" s="46"/>
      <c r="E46" s="46"/>
      <c r="F46" s="46"/>
      <c r="G46" s="46"/>
      <c r="H46" s="46"/>
      <c r="I46" s="46"/>
      <c r="J46" s="46"/>
      <c r="K46" s="46"/>
      <c r="L46" s="51"/>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51"/>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row>
    <row r="47">
      <c r="A47" s="46"/>
      <c r="B47" s="46"/>
      <c r="C47" s="46"/>
      <c r="D47" s="46"/>
      <c r="E47" s="46"/>
      <c r="F47" s="46"/>
      <c r="G47" s="46"/>
      <c r="H47" s="46"/>
      <c r="I47" s="46"/>
      <c r="J47" s="46"/>
      <c r="K47" s="46"/>
      <c r="L47" s="51"/>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51"/>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row>
    <row r="48">
      <c r="A48" s="46"/>
      <c r="B48" s="46"/>
      <c r="C48" s="46"/>
      <c r="D48" s="46"/>
      <c r="E48" s="46"/>
      <c r="F48" s="46"/>
      <c r="G48" s="46"/>
      <c r="H48" s="46"/>
      <c r="I48" s="46"/>
      <c r="J48" s="46"/>
      <c r="K48" s="46"/>
      <c r="L48" s="51"/>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51"/>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row>
    <row r="49">
      <c r="A49" s="46"/>
      <c r="B49" s="46"/>
      <c r="C49" s="46"/>
      <c r="D49" s="46"/>
      <c r="E49" s="46"/>
      <c r="F49" s="46"/>
      <c r="G49" s="46"/>
      <c r="H49" s="46"/>
      <c r="I49" s="46"/>
      <c r="J49" s="46"/>
      <c r="K49" s="46"/>
      <c r="L49" s="51"/>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51"/>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row>
    <row r="50">
      <c r="A50" s="46"/>
      <c r="B50" s="46"/>
      <c r="C50" s="46"/>
      <c r="D50" s="46"/>
      <c r="E50" s="46"/>
      <c r="F50" s="46"/>
      <c r="G50" s="46"/>
      <c r="H50" s="46"/>
      <c r="I50" s="46"/>
      <c r="J50" s="46"/>
      <c r="K50" s="46"/>
      <c r="L50" s="51"/>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51"/>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row>
    <row r="51">
      <c r="A51" s="46"/>
      <c r="B51" s="46"/>
      <c r="C51" s="46"/>
      <c r="D51" s="46"/>
      <c r="E51" s="46"/>
      <c r="F51" s="46"/>
      <c r="G51" s="46"/>
      <c r="H51" s="46"/>
      <c r="I51" s="46"/>
      <c r="J51" s="46"/>
      <c r="K51" s="46"/>
      <c r="L51" s="51"/>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51"/>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row>
    <row r="52">
      <c r="A52" s="46"/>
      <c r="B52" s="46"/>
      <c r="C52" s="46"/>
      <c r="D52" s="46"/>
      <c r="E52" s="46"/>
      <c r="F52" s="46"/>
      <c r="G52" s="46"/>
      <c r="H52" s="46"/>
      <c r="I52" s="46"/>
      <c r="J52" s="46"/>
      <c r="K52" s="46"/>
      <c r="L52" s="51"/>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51"/>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row>
    <row r="53">
      <c r="A53" s="46"/>
      <c r="B53" s="46"/>
      <c r="C53" s="46"/>
      <c r="D53" s="46"/>
      <c r="E53" s="46"/>
      <c r="F53" s="46"/>
      <c r="G53" s="46"/>
      <c r="H53" s="46"/>
      <c r="I53" s="46"/>
      <c r="J53" s="46"/>
      <c r="K53" s="46"/>
      <c r="L53" s="51"/>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51"/>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row>
    <row r="54">
      <c r="A54" s="46"/>
      <c r="B54" s="46"/>
      <c r="C54" s="46"/>
      <c r="D54" s="46"/>
      <c r="E54" s="46"/>
      <c r="F54" s="46"/>
      <c r="G54" s="46"/>
      <c r="H54" s="46"/>
      <c r="I54" s="46"/>
      <c r="J54" s="46"/>
      <c r="K54" s="46"/>
      <c r="L54" s="51"/>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51"/>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row>
    <row r="55">
      <c r="A55" s="46"/>
      <c r="B55" s="46"/>
      <c r="C55" s="46"/>
      <c r="D55" s="46"/>
      <c r="E55" s="46"/>
      <c r="F55" s="46"/>
      <c r="G55" s="46"/>
      <c r="H55" s="46"/>
      <c r="I55" s="46"/>
      <c r="J55" s="46"/>
      <c r="K55" s="46"/>
      <c r="L55" s="51"/>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51"/>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row>
    <row r="56">
      <c r="A56" s="46"/>
      <c r="B56" s="46"/>
      <c r="C56" s="46"/>
      <c r="D56" s="46"/>
      <c r="E56" s="46"/>
      <c r="F56" s="46"/>
      <c r="G56" s="46"/>
      <c r="H56" s="46"/>
      <c r="I56" s="46"/>
      <c r="J56" s="46"/>
      <c r="K56" s="46"/>
      <c r="L56" s="51"/>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51"/>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row>
    <row r="57">
      <c r="A57" s="46"/>
      <c r="B57" s="46"/>
      <c r="C57" s="46"/>
      <c r="D57" s="46"/>
      <c r="E57" s="46"/>
      <c r="F57" s="46"/>
      <c r="G57" s="46"/>
      <c r="H57" s="46"/>
      <c r="I57" s="46"/>
      <c r="J57" s="46"/>
      <c r="K57" s="46"/>
      <c r="L57" s="51"/>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51"/>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row>
    <row r="58">
      <c r="A58" s="46"/>
      <c r="B58" s="46"/>
      <c r="C58" s="46"/>
      <c r="D58" s="46"/>
      <c r="E58" s="46"/>
      <c r="F58" s="46"/>
      <c r="G58" s="46"/>
      <c r="H58" s="46"/>
      <c r="I58" s="46"/>
      <c r="J58" s="46"/>
      <c r="K58" s="46"/>
      <c r="L58" s="51"/>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51"/>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row>
    <row r="59">
      <c r="A59" s="46"/>
      <c r="B59" s="46"/>
      <c r="C59" s="46"/>
      <c r="D59" s="46"/>
      <c r="E59" s="46"/>
      <c r="F59" s="46"/>
      <c r="G59" s="46"/>
      <c r="H59" s="46"/>
      <c r="I59" s="46"/>
      <c r="J59" s="46"/>
      <c r="K59" s="46"/>
      <c r="L59" s="51"/>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51"/>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row>
    <row r="60">
      <c r="A60" s="46"/>
      <c r="B60" s="46"/>
      <c r="C60" s="46"/>
      <c r="D60" s="46"/>
      <c r="E60" s="46"/>
      <c r="F60" s="46"/>
      <c r="G60" s="46"/>
      <c r="H60" s="46"/>
      <c r="I60" s="46"/>
      <c r="J60" s="46"/>
      <c r="K60" s="46"/>
      <c r="L60" s="51"/>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51"/>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row>
    <row r="61">
      <c r="A61" s="46"/>
      <c r="B61" s="46"/>
      <c r="C61" s="46"/>
      <c r="D61" s="46"/>
      <c r="E61" s="46"/>
      <c r="F61" s="46"/>
      <c r="G61" s="46"/>
      <c r="H61" s="46"/>
      <c r="I61" s="46"/>
      <c r="J61" s="46"/>
      <c r="K61" s="46"/>
      <c r="L61" s="51"/>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51"/>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row>
    <row r="62">
      <c r="A62" s="46"/>
      <c r="B62" s="46"/>
      <c r="C62" s="46"/>
      <c r="D62" s="46"/>
      <c r="E62" s="46"/>
      <c r="F62" s="46"/>
      <c r="G62" s="46"/>
      <c r="H62" s="46"/>
      <c r="I62" s="46"/>
      <c r="J62" s="46"/>
      <c r="K62" s="46"/>
      <c r="L62" s="51"/>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51"/>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row>
    <row r="63">
      <c r="A63" s="46"/>
      <c r="B63" s="46"/>
      <c r="C63" s="46"/>
      <c r="D63" s="46"/>
      <c r="E63" s="46"/>
      <c r="F63" s="46"/>
      <c r="G63" s="46"/>
      <c r="H63" s="46"/>
      <c r="I63" s="46"/>
      <c r="J63" s="46"/>
      <c r="K63" s="46"/>
      <c r="L63" s="51"/>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51"/>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row>
    <row r="64">
      <c r="A64" s="46"/>
      <c r="B64" s="46"/>
      <c r="C64" s="46"/>
      <c r="D64" s="46"/>
      <c r="E64" s="46"/>
      <c r="F64" s="46"/>
      <c r="G64" s="46"/>
      <c r="H64" s="46"/>
      <c r="I64" s="46"/>
      <c r="J64" s="46"/>
      <c r="K64" s="46"/>
      <c r="L64" s="51"/>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51"/>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row>
    <row r="65">
      <c r="A65" s="46"/>
      <c r="B65" s="46"/>
      <c r="C65" s="46"/>
      <c r="D65" s="46"/>
      <c r="E65" s="46"/>
      <c r="F65" s="46"/>
      <c r="G65" s="46"/>
      <c r="H65" s="46"/>
      <c r="I65" s="46"/>
      <c r="J65" s="46"/>
      <c r="K65" s="46"/>
      <c r="L65" s="51"/>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51"/>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row>
    <row r="66">
      <c r="A66" s="46"/>
      <c r="B66" s="46"/>
      <c r="C66" s="46"/>
      <c r="D66" s="46"/>
      <c r="E66" s="46"/>
      <c r="F66" s="46"/>
      <c r="G66" s="46"/>
      <c r="H66" s="46"/>
      <c r="I66" s="46"/>
      <c r="J66" s="46"/>
      <c r="K66" s="46"/>
      <c r="L66" s="51"/>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51"/>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row>
    <row r="67">
      <c r="A67" s="46"/>
      <c r="B67" s="46"/>
      <c r="C67" s="46"/>
      <c r="D67" s="46"/>
      <c r="E67" s="46"/>
      <c r="F67" s="46"/>
      <c r="G67" s="46"/>
      <c r="H67" s="46"/>
      <c r="I67" s="46"/>
      <c r="J67" s="46"/>
      <c r="K67" s="46"/>
      <c r="L67" s="51"/>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51"/>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row>
    <row r="68">
      <c r="A68" s="46"/>
      <c r="B68" s="46"/>
      <c r="C68" s="46"/>
      <c r="D68" s="46"/>
      <c r="E68" s="46"/>
      <c r="F68" s="46"/>
      <c r="G68" s="46"/>
      <c r="H68" s="46"/>
      <c r="I68" s="46"/>
      <c r="J68" s="46"/>
      <c r="K68" s="46"/>
      <c r="L68" s="51"/>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51"/>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row>
    <row r="69">
      <c r="A69" s="46"/>
      <c r="B69" s="46"/>
      <c r="C69" s="46"/>
      <c r="D69" s="46"/>
      <c r="E69" s="46"/>
      <c r="F69" s="46"/>
      <c r="G69" s="46"/>
      <c r="H69" s="46"/>
      <c r="I69" s="46"/>
      <c r="J69" s="46"/>
      <c r="K69" s="46"/>
      <c r="L69" s="51"/>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51"/>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row>
    <row r="70">
      <c r="A70" s="46"/>
      <c r="B70" s="46"/>
      <c r="C70" s="46"/>
      <c r="D70" s="46"/>
      <c r="E70" s="46"/>
      <c r="F70" s="46"/>
      <c r="G70" s="46"/>
      <c r="H70" s="46"/>
      <c r="I70" s="46"/>
      <c r="J70" s="46"/>
      <c r="K70" s="46"/>
      <c r="L70" s="51"/>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51"/>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row>
    <row r="71">
      <c r="A71" s="46"/>
      <c r="B71" s="46"/>
      <c r="C71" s="46"/>
      <c r="D71" s="46"/>
      <c r="E71" s="46"/>
      <c r="F71" s="46"/>
      <c r="G71" s="46"/>
      <c r="H71" s="46"/>
      <c r="I71" s="46"/>
      <c r="J71" s="46"/>
      <c r="K71" s="46"/>
      <c r="L71" s="51"/>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51"/>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row>
    <row r="72">
      <c r="A72" s="46"/>
      <c r="B72" s="46"/>
      <c r="C72" s="46"/>
      <c r="D72" s="46"/>
      <c r="E72" s="46"/>
      <c r="F72" s="46"/>
      <c r="G72" s="46"/>
      <c r="H72" s="46"/>
      <c r="I72" s="46"/>
      <c r="J72" s="46"/>
      <c r="K72" s="46"/>
      <c r="L72" s="51"/>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51"/>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row>
    <row r="73">
      <c r="A73" s="46"/>
      <c r="B73" s="46"/>
      <c r="C73" s="46"/>
      <c r="D73" s="46"/>
      <c r="E73" s="46"/>
      <c r="F73" s="46"/>
      <c r="G73" s="46"/>
      <c r="H73" s="46"/>
      <c r="I73" s="46"/>
      <c r="J73" s="46"/>
      <c r="K73" s="46"/>
      <c r="L73" s="51"/>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51"/>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row>
    <row r="74">
      <c r="A74" s="46"/>
      <c r="B74" s="46"/>
      <c r="C74" s="46"/>
      <c r="D74" s="46"/>
      <c r="E74" s="46"/>
      <c r="F74" s="46"/>
      <c r="G74" s="46"/>
      <c r="H74" s="46"/>
      <c r="I74" s="46"/>
      <c r="J74" s="46"/>
      <c r="K74" s="46"/>
      <c r="L74" s="51"/>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51"/>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row>
    <row r="75">
      <c r="A75" s="46"/>
      <c r="B75" s="46"/>
      <c r="C75" s="46"/>
      <c r="D75" s="46"/>
      <c r="E75" s="46"/>
      <c r="F75" s="46"/>
      <c r="G75" s="46"/>
      <c r="H75" s="46"/>
      <c r="I75" s="46"/>
      <c r="J75" s="46"/>
      <c r="K75" s="46"/>
      <c r="L75" s="51"/>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51"/>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row>
    <row r="76">
      <c r="A76" s="46"/>
      <c r="B76" s="46"/>
      <c r="C76" s="46"/>
      <c r="D76" s="46"/>
      <c r="E76" s="46"/>
      <c r="F76" s="46"/>
      <c r="G76" s="46"/>
      <c r="H76" s="46"/>
      <c r="I76" s="46"/>
      <c r="J76" s="46"/>
      <c r="K76" s="46"/>
      <c r="L76" s="51"/>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51"/>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row>
    <row r="77">
      <c r="A77" s="46"/>
      <c r="B77" s="46"/>
      <c r="C77" s="46"/>
      <c r="D77" s="46"/>
      <c r="E77" s="46"/>
      <c r="F77" s="46"/>
      <c r="G77" s="46"/>
      <c r="H77" s="46"/>
      <c r="I77" s="46"/>
      <c r="J77" s="46"/>
      <c r="K77" s="46"/>
      <c r="L77" s="51"/>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51"/>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row>
    <row r="78">
      <c r="A78" s="46"/>
      <c r="B78" s="46"/>
      <c r="C78" s="46"/>
      <c r="D78" s="46"/>
      <c r="E78" s="46"/>
      <c r="F78" s="46"/>
      <c r="G78" s="46"/>
      <c r="H78" s="46"/>
      <c r="I78" s="46"/>
      <c r="J78" s="46"/>
      <c r="K78" s="46"/>
      <c r="L78" s="51"/>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51"/>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row>
    <row r="79">
      <c r="A79" s="46"/>
      <c r="B79" s="46"/>
      <c r="C79" s="46"/>
      <c r="D79" s="46"/>
      <c r="E79" s="46"/>
      <c r="F79" s="46"/>
      <c r="G79" s="46"/>
      <c r="H79" s="46"/>
      <c r="I79" s="46"/>
      <c r="J79" s="46"/>
      <c r="K79" s="46"/>
      <c r="L79" s="51"/>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51"/>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row>
    <row r="80">
      <c r="A80" s="46"/>
      <c r="B80" s="46"/>
      <c r="C80" s="46"/>
      <c r="D80" s="46"/>
      <c r="E80" s="46"/>
      <c r="F80" s="46"/>
      <c r="G80" s="46"/>
      <c r="H80" s="46"/>
      <c r="I80" s="46"/>
      <c r="J80" s="46"/>
      <c r="K80" s="46"/>
      <c r="L80" s="51"/>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51"/>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row>
    <row r="81">
      <c r="A81" s="46"/>
      <c r="B81" s="46"/>
      <c r="C81" s="46"/>
      <c r="D81" s="46"/>
      <c r="E81" s="46"/>
      <c r="F81" s="46"/>
      <c r="G81" s="46"/>
      <c r="H81" s="46"/>
      <c r="I81" s="46"/>
      <c r="J81" s="46"/>
      <c r="K81" s="46"/>
      <c r="L81" s="51"/>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51"/>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row>
    <row r="82">
      <c r="A82" s="46"/>
      <c r="B82" s="46"/>
      <c r="C82" s="46"/>
      <c r="D82" s="46"/>
      <c r="E82" s="46"/>
      <c r="F82" s="46"/>
      <c r="G82" s="46"/>
      <c r="H82" s="46"/>
      <c r="I82" s="46"/>
      <c r="J82" s="46"/>
      <c r="K82" s="46"/>
      <c r="L82" s="51"/>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51"/>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row>
    <row r="83">
      <c r="A83" s="46"/>
      <c r="B83" s="46"/>
      <c r="C83" s="46"/>
      <c r="D83" s="46"/>
      <c r="E83" s="46"/>
      <c r="F83" s="46"/>
      <c r="G83" s="46"/>
      <c r="H83" s="46"/>
      <c r="I83" s="46"/>
      <c r="J83" s="46"/>
      <c r="K83" s="46"/>
      <c r="L83" s="51"/>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51"/>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row>
    <row r="84">
      <c r="A84" s="46"/>
      <c r="B84" s="46"/>
      <c r="C84" s="46"/>
      <c r="D84" s="46"/>
      <c r="E84" s="46"/>
      <c r="F84" s="46"/>
      <c r="G84" s="46"/>
      <c r="H84" s="46"/>
      <c r="I84" s="46"/>
      <c r="J84" s="46"/>
      <c r="K84" s="46"/>
      <c r="L84" s="51"/>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51"/>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row>
    <row r="85">
      <c r="A85" s="46"/>
      <c r="B85" s="46"/>
      <c r="C85" s="46"/>
      <c r="D85" s="46"/>
      <c r="E85" s="46"/>
      <c r="F85" s="46"/>
      <c r="G85" s="46"/>
      <c r="H85" s="46"/>
      <c r="I85" s="46"/>
      <c r="J85" s="46"/>
      <c r="K85" s="46"/>
      <c r="L85" s="51"/>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51"/>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row>
    <row r="86">
      <c r="A86" s="46"/>
      <c r="B86" s="46"/>
      <c r="C86" s="46"/>
      <c r="D86" s="46"/>
      <c r="E86" s="46"/>
      <c r="F86" s="46"/>
      <c r="G86" s="46"/>
      <c r="H86" s="46"/>
      <c r="I86" s="46"/>
      <c r="J86" s="46"/>
      <c r="K86" s="46"/>
      <c r="L86" s="51"/>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51"/>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row>
    <row r="87">
      <c r="A87" s="46"/>
      <c r="B87" s="46"/>
      <c r="C87" s="46"/>
      <c r="D87" s="46"/>
      <c r="E87" s="46"/>
      <c r="F87" s="46"/>
      <c r="G87" s="46"/>
      <c r="H87" s="46"/>
      <c r="I87" s="46"/>
      <c r="J87" s="46"/>
      <c r="K87" s="46"/>
      <c r="L87" s="51"/>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51"/>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row>
    <row r="88">
      <c r="A88" s="46"/>
      <c r="B88" s="46"/>
      <c r="C88" s="46"/>
      <c r="D88" s="46"/>
      <c r="E88" s="46"/>
      <c r="F88" s="46"/>
      <c r="G88" s="46"/>
      <c r="H88" s="46"/>
      <c r="I88" s="46"/>
      <c r="J88" s="46"/>
      <c r="K88" s="46"/>
      <c r="L88" s="51"/>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51"/>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row>
    <row r="89">
      <c r="A89" s="46"/>
      <c r="B89" s="46"/>
      <c r="C89" s="46"/>
      <c r="D89" s="46"/>
      <c r="E89" s="46"/>
      <c r="F89" s="46"/>
      <c r="G89" s="46"/>
      <c r="H89" s="46"/>
      <c r="I89" s="46"/>
      <c r="J89" s="46"/>
      <c r="K89" s="46"/>
      <c r="L89" s="51"/>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51"/>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row>
    <row r="90">
      <c r="A90" s="46"/>
      <c r="B90" s="46"/>
      <c r="C90" s="46"/>
      <c r="D90" s="46"/>
      <c r="E90" s="46"/>
      <c r="F90" s="46"/>
      <c r="G90" s="46"/>
      <c r="H90" s="46"/>
      <c r="I90" s="46"/>
      <c r="J90" s="46"/>
      <c r="K90" s="46"/>
      <c r="L90" s="51"/>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51"/>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row>
    <row r="91">
      <c r="A91" s="46"/>
      <c r="B91" s="46"/>
      <c r="C91" s="46"/>
      <c r="D91" s="46"/>
      <c r="E91" s="46"/>
      <c r="F91" s="46"/>
      <c r="G91" s="46"/>
      <c r="H91" s="46"/>
      <c r="I91" s="46"/>
      <c r="J91" s="46"/>
      <c r="K91" s="46"/>
      <c r="L91" s="51"/>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51"/>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row>
    <row r="92">
      <c r="A92" s="46"/>
      <c r="B92" s="46"/>
      <c r="C92" s="46"/>
      <c r="D92" s="46"/>
      <c r="E92" s="46"/>
      <c r="F92" s="46"/>
      <c r="G92" s="46"/>
      <c r="H92" s="46"/>
      <c r="I92" s="46"/>
      <c r="J92" s="46"/>
      <c r="K92" s="46"/>
      <c r="L92" s="51"/>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51"/>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row>
    <row r="93">
      <c r="A93" s="46"/>
      <c r="B93" s="46"/>
      <c r="C93" s="46"/>
      <c r="D93" s="46"/>
      <c r="E93" s="46"/>
      <c r="F93" s="46"/>
      <c r="G93" s="46"/>
      <c r="H93" s="46"/>
      <c r="I93" s="46"/>
      <c r="J93" s="46"/>
      <c r="K93" s="46"/>
      <c r="L93" s="51"/>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51"/>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row>
    <row r="94">
      <c r="A94" s="46"/>
      <c r="B94" s="46"/>
      <c r="C94" s="46"/>
      <c r="D94" s="46"/>
      <c r="E94" s="46"/>
      <c r="F94" s="46"/>
      <c r="G94" s="46"/>
      <c r="H94" s="46"/>
      <c r="I94" s="46"/>
      <c r="J94" s="46"/>
      <c r="K94" s="46"/>
      <c r="L94" s="51"/>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51"/>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row>
    <row r="95">
      <c r="A95" s="46"/>
      <c r="B95" s="46"/>
      <c r="C95" s="46"/>
      <c r="D95" s="46"/>
      <c r="E95" s="46"/>
      <c r="F95" s="46"/>
      <c r="G95" s="46"/>
      <c r="H95" s="46"/>
      <c r="I95" s="46"/>
      <c r="J95" s="46"/>
      <c r="K95" s="46"/>
      <c r="L95" s="51"/>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51"/>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row>
    <row r="96">
      <c r="A96" s="46"/>
      <c r="B96" s="46"/>
      <c r="C96" s="46"/>
      <c r="D96" s="46"/>
      <c r="E96" s="46"/>
      <c r="F96" s="46"/>
      <c r="G96" s="46"/>
      <c r="H96" s="46"/>
      <c r="I96" s="46"/>
      <c r="J96" s="46"/>
      <c r="K96" s="46"/>
      <c r="L96" s="51"/>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51"/>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row>
    <row r="97">
      <c r="A97" s="46"/>
      <c r="B97" s="46"/>
      <c r="C97" s="46"/>
      <c r="D97" s="46"/>
      <c r="E97" s="46"/>
      <c r="F97" s="46"/>
      <c r="G97" s="46"/>
      <c r="H97" s="46"/>
      <c r="I97" s="46"/>
      <c r="J97" s="46"/>
      <c r="K97" s="46"/>
      <c r="L97" s="51"/>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51"/>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row>
    <row r="98">
      <c r="A98" s="46"/>
      <c r="B98" s="46"/>
      <c r="C98" s="46"/>
      <c r="D98" s="46"/>
      <c r="E98" s="46"/>
      <c r="F98" s="46"/>
      <c r="G98" s="46"/>
      <c r="H98" s="46"/>
      <c r="I98" s="46"/>
      <c r="J98" s="46"/>
      <c r="K98" s="46"/>
      <c r="L98" s="51"/>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51"/>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row>
    <row r="99">
      <c r="A99" s="46"/>
      <c r="B99" s="46"/>
      <c r="C99" s="46"/>
      <c r="D99" s="46"/>
      <c r="E99" s="46"/>
      <c r="F99" s="46"/>
      <c r="G99" s="46"/>
      <c r="H99" s="46"/>
      <c r="I99" s="46"/>
      <c r="J99" s="46"/>
      <c r="K99" s="46"/>
      <c r="L99" s="51"/>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51"/>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row>
    <row r="100">
      <c r="A100" s="46"/>
      <c r="B100" s="46"/>
      <c r="C100" s="46"/>
      <c r="D100" s="46"/>
      <c r="E100" s="46"/>
      <c r="F100" s="46"/>
      <c r="G100" s="46"/>
      <c r="H100" s="46"/>
      <c r="I100" s="46"/>
      <c r="J100" s="46"/>
      <c r="K100" s="46"/>
      <c r="L100" s="51"/>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51"/>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row>
    <row r="101">
      <c r="A101" s="46"/>
      <c r="B101" s="46"/>
      <c r="C101" s="46"/>
      <c r="D101" s="46"/>
      <c r="E101" s="46"/>
      <c r="F101" s="46"/>
      <c r="G101" s="46"/>
      <c r="H101" s="46"/>
      <c r="I101" s="46"/>
      <c r="J101" s="46"/>
      <c r="K101" s="46"/>
      <c r="L101" s="51"/>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51"/>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row>
    <row r="102">
      <c r="A102" s="46"/>
      <c r="B102" s="46"/>
      <c r="C102" s="46"/>
      <c r="D102" s="46"/>
      <c r="E102" s="46"/>
      <c r="F102" s="46"/>
      <c r="G102" s="46"/>
      <c r="H102" s="46"/>
      <c r="I102" s="46"/>
      <c r="J102" s="46"/>
      <c r="K102" s="46"/>
      <c r="L102" s="51"/>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51"/>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row>
    <row r="103">
      <c r="A103" s="46"/>
      <c r="B103" s="46"/>
      <c r="C103" s="46"/>
      <c r="D103" s="46"/>
      <c r="E103" s="46"/>
      <c r="F103" s="46"/>
      <c r="G103" s="46"/>
      <c r="H103" s="46"/>
      <c r="I103" s="46"/>
      <c r="J103" s="46"/>
      <c r="K103" s="46"/>
      <c r="L103" s="51"/>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51"/>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row>
    <row r="104">
      <c r="A104" s="46"/>
      <c r="B104" s="46"/>
      <c r="C104" s="46"/>
      <c r="D104" s="46"/>
      <c r="E104" s="46"/>
      <c r="F104" s="46"/>
      <c r="G104" s="46"/>
      <c r="H104" s="46"/>
      <c r="I104" s="46"/>
      <c r="J104" s="46"/>
      <c r="K104" s="46"/>
      <c r="L104" s="51"/>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51"/>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row>
    <row r="105">
      <c r="A105" s="46"/>
      <c r="B105" s="46"/>
      <c r="C105" s="46"/>
      <c r="D105" s="46"/>
      <c r="E105" s="46"/>
      <c r="F105" s="46"/>
      <c r="G105" s="46"/>
      <c r="H105" s="46"/>
      <c r="I105" s="46"/>
      <c r="J105" s="46"/>
      <c r="K105" s="46"/>
      <c r="L105" s="51"/>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51"/>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row>
    <row r="106">
      <c r="A106" s="46"/>
      <c r="B106" s="46"/>
      <c r="C106" s="46"/>
      <c r="D106" s="46"/>
      <c r="E106" s="46"/>
      <c r="F106" s="46"/>
      <c r="G106" s="46"/>
      <c r="H106" s="46"/>
      <c r="I106" s="46"/>
      <c r="J106" s="46"/>
      <c r="K106" s="46"/>
      <c r="L106" s="51"/>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51"/>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row>
    <row r="107">
      <c r="A107" s="46"/>
      <c r="B107" s="46"/>
      <c r="C107" s="46"/>
      <c r="D107" s="46"/>
      <c r="E107" s="46"/>
      <c r="F107" s="46"/>
      <c r="G107" s="46"/>
      <c r="H107" s="46"/>
      <c r="I107" s="46"/>
      <c r="J107" s="46"/>
      <c r="K107" s="46"/>
      <c r="L107" s="51"/>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51"/>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row>
    <row r="108">
      <c r="A108" s="46"/>
      <c r="B108" s="46"/>
      <c r="C108" s="46"/>
      <c r="D108" s="46"/>
      <c r="E108" s="46"/>
      <c r="F108" s="46"/>
      <c r="G108" s="46"/>
      <c r="H108" s="46"/>
      <c r="I108" s="46"/>
      <c r="J108" s="46"/>
      <c r="K108" s="46"/>
      <c r="L108" s="51"/>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51"/>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row>
    <row r="109">
      <c r="A109" s="46"/>
      <c r="B109" s="46"/>
      <c r="C109" s="46"/>
      <c r="D109" s="46"/>
      <c r="E109" s="46"/>
      <c r="F109" s="46"/>
      <c r="G109" s="46"/>
      <c r="H109" s="46"/>
      <c r="I109" s="46"/>
      <c r="J109" s="46"/>
      <c r="K109" s="46"/>
      <c r="L109" s="51"/>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51"/>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row>
    <row r="110">
      <c r="A110" s="46"/>
      <c r="B110" s="46"/>
      <c r="C110" s="46"/>
      <c r="D110" s="46"/>
      <c r="E110" s="46"/>
      <c r="F110" s="46"/>
      <c r="G110" s="46"/>
      <c r="H110" s="46"/>
      <c r="I110" s="46"/>
      <c r="J110" s="46"/>
      <c r="K110" s="46"/>
      <c r="L110" s="51"/>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51"/>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row>
    <row r="111">
      <c r="A111" s="46"/>
      <c r="B111" s="46"/>
      <c r="C111" s="46"/>
      <c r="D111" s="46"/>
      <c r="E111" s="46"/>
      <c r="F111" s="46"/>
      <c r="G111" s="46"/>
      <c r="H111" s="46"/>
      <c r="I111" s="46"/>
      <c r="J111" s="46"/>
      <c r="K111" s="46"/>
      <c r="L111" s="51"/>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51"/>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row>
    <row r="112">
      <c r="A112" s="46"/>
      <c r="B112" s="46"/>
      <c r="C112" s="46"/>
      <c r="D112" s="46"/>
      <c r="E112" s="46"/>
      <c r="F112" s="46"/>
      <c r="G112" s="46"/>
      <c r="H112" s="46"/>
      <c r="I112" s="46"/>
      <c r="J112" s="46"/>
      <c r="K112" s="46"/>
      <c r="L112" s="51"/>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51"/>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row>
    <row r="113">
      <c r="A113" s="46"/>
      <c r="B113" s="46"/>
      <c r="C113" s="46"/>
      <c r="D113" s="46"/>
      <c r="E113" s="46"/>
      <c r="F113" s="46"/>
      <c r="G113" s="46"/>
      <c r="H113" s="46"/>
      <c r="I113" s="46"/>
      <c r="J113" s="46"/>
      <c r="K113" s="46"/>
      <c r="L113" s="51"/>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51"/>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c r="CD113" s="46"/>
      <c r="CE113" s="46"/>
      <c r="CF113" s="46"/>
      <c r="CG113" s="46"/>
      <c r="CH113" s="46"/>
      <c r="CI113" s="46"/>
      <c r="CJ113" s="46"/>
      <c r="CK113" s="46"/>
      <c r="CL113" s="46"/>
      <c r="CM113" s="46"/>
      <c r="CN113" s="46"/>
    </row>
    <row r="114">
      <c r="A114" s="46"/>
      <c r="B114" s="46"/>
      <c r="C114" s="46"/>
      <c r="D114" s="46"/>
      <c r="E114" s="46"/>
      <c r="F114" s="46"/>
      <c r="G114" s="46"/>
      <c r="H114" s="46"/>
      <c r="I114" s="46"/>
      <c r="J114" s="46"/>
      <c r="K114" s="46"/>
      <c r="L114" s="51"/>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51"/>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row>
    <row r="115">
      <c r="A115" s="46"/>
      <c r="B115" s="46"/>
      <c r="C115" s="46"/>
      <c r="D115" s="46"/>
      <c r="E115" s="46"/>
      <c r="F115" s="46"/>
      <c r="G115" s="46"/>
      <c r="H115" s="46"/>
      <c r="I115" s="46"/>
      <c r="J115" s="46"/>
      <c r="K115" s="46"/>
      <c r="L115" s="51"/>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51"/>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46"/>
      <c r="CF115" s="46"/>
      <c r="CG115" s="46"/>
      <c r="CH115" s="46"/>
      <c r="CI115" s="46"/>
      <c r="CJ115" s="46"/>
      <c r="CK115" s="46"/>
      <c r="CL115" s="46"/>
      <c r="CM115" s="46"/>
      <c r="CN115" s="46"/>
    </row>
    <row r="116">
      <c r="A116" s="46"/>
      <c r="B116" s="46"/>
      <c r="C116" s="46"/>
      <c r="D116" s="46"/>
      <c r="E116" s="46"/>
      <c r="F116" s="46"/>
      <c r="G116" s="46"/>
      <c r="H116" s="46"/>
      <c r="I116" s="46"/>
      <c r="J116" s="46"/>
      <c r="K116" s="46"/>
      <c r="L116" s="51"/>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51"/>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row>
    <row r="117">
      <c r="A117" s="46"/>
      <c r="B117" s="46"/>
      <c r="C117" s="46"/>
      <c r="D117" s="46"/>
      <c r="E117" s="46"/>
      <c r="F117" s="46"/>
      <c r="G117" s="46"/>
      <c r="H117" s="46"/>
      <c r="I117" s="46"/>
      <c r="J117" s="46"/>
      <c r="K117" s="46"/>
      <c r="L117" s="51"/>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51"/>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46"/>
      <c r="CF117" s="46"/>
      <c r="CG117" s="46"/>
      <c r="CH117" s="46"/>
      <c r="CI117" s="46"/>
      <c r="CJ117" s="46"/>
      <c r="CK117" s="46"/>
      <c r="CL117" s="46"/>
      <c r="CM117" s="46"/>
      <c r="CN117" s="46"/>
    </row>
    <row r="118">
      <c r="A118" s="46"/>
      <c r="B118" s="46"/>
      <c r="C118" s="46"/>
      <c r="D118" s="46"/>
      <c r="E118" s="46"/>
      <c r="F118" s="46"/>
      <c r="G118" s="46"/>
      <c r="H118" s="46"/>
      <c r="I118" s="46"/>
      <c r="J118" s="46"/>
      <c r="K118" s="46"/>
      <c r="L118" s="51"/>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51"/>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row>
    <row r="119">
      <c r="A119" s="46"/>
      <c r="B119" s="46"/>
      <c r="C119" s="46"/>
      <c r="D119" s="46"/>
      <c r="E119" s="46"/>
      <c r="F119" s="46"/>
      <c r="G119" s="46"/>
      <c r="H119" s="46"/>
      <c r="I119" s="46"/>
      <c r="J119" s="46"/>
      <c r="K119" s="46"/>
      <c r="L119" s="51"/>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51"/>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row>
    <row r="120">
      <c r="A120" s="46"/>
      <c r="B120" s="46"/>
      <c r="C120" s="46"/>
      <c r="D120" s="46"/>
      <c r="E120" s="46"/>
      <c r="F120" s="46"/>
      <c r="G120" s="46"/>
      <c r="H120" s="46"/>
      <c r="I120" s="46"/>
      <c r="J120" s="46"/>
      <c r="K120" s="46"/>
      <c r="L120" s="51"/>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51"/>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c r="CN120" s="46"/>
    </row>
    <row r="121">
      <c r="A121" s="46"/>
      <c r="B121" s="46"/>
      <c r="C121" s="46"/>
      <c r="D121" s="46"/>
      <c r="E121" s="46"/>
      <c r="F121" s="46"/>
      <c r="G121" s="46"/>
      <c r="H121" s="46"/>
      <c r="I121" s="46"/>
      <c r="J121" s="46"/>
      <c r="K121" s="46"/>
      <c r="L121" s="51"/>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51"/>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46"/>
      <c r="CF121" s="46"/>
      <c r="CG121" s="46"/>
      <c r="CH121" s="46"/>
      <c r="CI121" s="46"/>
      <c r="CJ121" s="46"/>
      <c r="CK121" s="46"/>
      <c r="CL121" s="46"/>
      <c r="CM121" s="46"/>
      <c r="CN121" s="46"/>
    </row>
    <row r="122">
      <c r="A122" s="46"/>
      <c r="B122" s="46"/>
      <c r="C122" s="46"/>
      <c r="D122" s="46"/>
      <c r="E122" s="46"/>
      <c r="F122" s="46"/>
      <c r="G122" s="46"/>
      <c r="H122" s="46"/>
      <c r="I122" s="46"/>
      <c r="J122" s="46"/>
      <c r="K122" s="46"/>
      <c r="L122" s="51"/>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51"/>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row>
    <row r="123">
      <c r="A123" s="46"/>
      <c r="B123" s="46"/>
      <c r="C123" s="46"/>
      <c r="D123" s="46"/>
      <c r="E123" s="46"/>
      <c r="F123" s="46"/>
      <c r="G123" s="46"/>
      <c r="H123" s="46"/>
      <c r="I123" s="46"/>
      <c r="J123" s="46"/>
      <c r="K123" s="46"/>
      <c r="L123" s="51"/>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51"/>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46"/>
      <c r="BZ123" s="46"/>
      <c r="CA123" s="46"/>
      <c r="CB123" s="46"/>
      <c r="CC123" s="46"/>
      <c r="CD123" s="46"/>
      <c r="CE123" s="46"/>
      <c r="CF123" s="46"/>
      <c r="CG123" s="46"/>
      <c r="CH123" s="46"/>
      <c r="CI123" s="46"/>
      <c r="CJ123" s="46"/>
      <c r="CK123" s="46"/>
      <c r="CL123" s="46"/>
      <c r="CM123" s="46"/>
      <c r="CN123" s="46"/>
    </row>
    <row r="124">
      <c r="A124" s="46"/>
      <c r="B124" s="46"/>
      <c r="C124" s="46"/>
      <c r="D124" s="46"/>
      <c r="E124" s="46"/>
      <c r="F124" s="46"/>
      <c r="G124" s="46"/>
      <c r="H124" s="46"/>
      <c r="I124" s="46"/>
      <c r="J124" s="46"/>
      <c r="K124" s="46"/>
      <c r="L124" s="51"/>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51"/>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row>
    <row r="125">
      <c r="A125" s="46"/>
      <c r="B125" s="46"/>
      <c r="C125" s="46"/>
      <c r="D125" s="46"/>
      <c r="E125" s="46"/>
      <c r="F125" s="46"/>
      <c r="G125" s="46"/>
      <c r="H125" s="46"/>
      <c r="I125" s="46"/>
      <c r="J125" s="46"/>
      <c r="K125" s="46"/>
      <c r="L125" s="51"/>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51"/>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46"/>
      <c r="BZ125" s="46"/>
      <c r="CA125" s="46"/>
      <c r="CB125" s="46"/>
      <c r="CC125" s="46"/>
      <c r="CD125" s="46"/>
      <c r="CE125" s="46"/>
      <c r="CF125" s="46"/>
      <c r="CG125" s="46"/>
      <c r="CH125" s="46"/>
      <c r="CI125" s="46"/>
      <c r="CJ125" s="46"/>
      <c r="CK125" s="46"/>
      <c r="CL125" s="46"/>
      <c r="CM125" s="46"/>
      <c r="CN125" s="46"/>
    </row>
    <row r="126">
      <c r="A126" s="46"/>
      <c r="B126" s="46"/>
      <c r="C126" s="46"/>
      <c r="D126" s="46"/>
      <c r="E126" s="46"/>
      <c r="F126" s="46"/>
      <c r="G126" s="46"/>
      <c r="H126" s="46"/>
      <c r="I126" s="46"/>
      <c r="J126" s="46"/>
      <c r="K126" s="46"/>
      <c r="L126" s="51"/>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51"/>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row>
    <row r="127">
      <c r="A127" s="46"/>
      <c r="B127" s="46"/>
      <c r="C127" s="46"/>
      <c r="D127" s="46"/>
      <c r="E127" s="46"/>
      <c r="F127" s="46"/>
      <c r="G127" s="46"/>
      <c r="H127" s="46"/>
      <c r="I127" s="46"/>
      <c r="J127" s="46"/>
      <c r="K127" s="46"/>
      <c r="L127" s="51"/>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51"/>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row>
    <row r="128">
      <c r="A128" s="46"/>
      <c r="B128" s="46"/>
      <c r="C128" s="46"/>
      <c r="D128" s="46"/>
      <c r="E128" s="46"/>
      <c r="F128" s="46"/>
      <c r="G128" s="46"/>
      <c r="H128" s="46"/>
      <c r="I128" s="46"/>
      <c r="J128" s="46"/>
      <c r="K128" s="46"/>
      <c r="L128" s="51"/>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51"/>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row>
    <row r="129">
      <c r="A129" s="46"/>
      <c r="B129" s="46"/>
      <c r="C129" s="46"/>
      <c r="D129" s="46"/>
      <c r="E129" s="46"/>
      <c r="F129" s="46"/>
      <c r="G129" s="46"/>
      <c r="H129" s="46"/>
      <c r="I129" s="46"/>
      <c r="J129" s="46"/>
      <c r="K129" s="46"/>
      <c r="L129" s="51"/>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51"/>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row>
    <row r="130">
      <c r="A130" s="46"/>
      <c r="B130" s="46"/>
      <c r="C130" s="46"/>
      <c r="D130" s="46"/>
      <c r="E130" s="46"/>
      <c r="F130" s="46"/>
      <c r="G130" s="46"/>
      <c r="H130" s="46"/>
      <c r="I130" s="46"/>
      <c r="J130" s="46"/>
      <c r="K130" s="46"/>
      <c r="L130" s="51"/>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51"/>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row>
    <row r="131">
      <c r="A131" s="46"/>
      <c r="B131" s="46"/>
      <c r="C131" s="46"/>
      <c r="D131" s="46"/>
      <c r="E131" s="46"/>
      <c r="F131" s="46"/>
      <c r="G131" s="46"/>
      <c r="H131" s="46"/>
      <c r="I131" s="46"/>
      <c r="J131" s="46"/>
      <c r="K131" s="46"/>
      <c r="L131" s="51"/>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51"/>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row>
    <row r="132">
      <c r="A132" s="46"/>
      <c r="B132" s="46"/>
      <c r="C132" s="46"/>
      <c r="D132" s="46"/>
      <c r="E132" s="46"/>
      <c r="F132" s="46"/>
      <c r="G132" s="46"/>
      <c r="H132" s="46"/>
      <c r="I132" s="46"/>
      <c r="J132" s="46"/>
      <c r="K132" s="46"/>
      <c r="L132" s="51"/>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51"/>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row>
    <row r="133">
      <c r="A133" s="46"/>
      <c r="B133" s="46"/>
      <c r="C133" s="46"/>
      <c r="D133" s="46"/>
      <c r="E133" s="46"/>
      <c r="F133" s="46"/>
      <c r="G133" s="46"/>
      <c r="H133" s="46"/>
      <c r="I133" s="46"/>
      <c r="J133" s="46"/>
      <c r="K133" s="46"/>
      <c r="L133" s="51"/>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51"/>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c r="CD133" s="46"/>
      <c r="CE133" s="46"/>
      <c r="CF133" s="46"/>
      <c r="CG133" s="46"/>
      <c r="CH133" s="46"/>
      <c r="CI133" s="46"/>
      <c r="CJ133" s="46"/>
      <c r="CK133" s="46"/>
      <c r="CL133" s="46"/>
      <c r="CM133" s="46"/>
      <c r="CN133" s="46"/>
    </row>
    <row r="134">
      <c r="A134" s="46"/>
      <c r="B134" s="46"/>
      <c r="C134" s="46"/>
      <c r="D134" s="46"/>
      <c r="E134" s="46"/>
      <c r="F134" s="46"/>
      <c r="G134" s="46"/>
      <c r="H134" s="46"/>
      <c r="I134" s="46"/>
      <c r="J134" s="46"/>
      <c r="K134" s="46"/>
      <c r="L134" s="51"/>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51"/>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row>
    <row r="135">
      <c r="A135" s="46"/>
      <c r="B135" s="46"/>
      <c r="C135" s="46"/>
      <c r="D135" s="46"/>
      <c r="E135" s="46"/>
      <c r="F135" s="46"/>
      <c r="G135" s="46"/>
      <c r="H135" s="46"/>
      <c r="I135" s="46"/>
      <c r="J135" s="46"/>
      <c r="K135" s="46"/>
      <c r="L135" s="51"/>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51"/>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row>
    <row r="136">
      <c r="A136" s="46"/>
      <c r="B136" s="46"/>
      <c r="C136" s="46"/>
      <c r="D136" s="46"/>
      <c r="E136" s="46"/>
      <c r="F136" s="46"/>
      <c r="G136" s="46"/>
      <c r="H136" s="46"/>
      <c r="I136" s="46"/>
      <c r="J136" s="46"/>
      <c r="K136" s="46"/>
      <c r="L136" s="51"/>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51"/>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c r="CD136" s="46"/>
      <c r="CE136" s="46"/>
      <c r="CF136" s="46"/>
      <c r="CG136" s="46"/>
      <c r="CH136" s="46"/>
      <c r="CI136" s="46"/>
      <c r="CJ136" s="46"/>
      <c r="CK136" s="46"/>
      <c r="CL136" s="46"/>
      <c r="CM136" s="46"/>
      <c r="CN136" s="46"/>
    </row>
    <row r="137">
      <c r="A137" s="46"/>
      <c r="B137" s="46"/>
      <c r="C137" s="46"/>
      <c r="D137" s="46"/>
      <c r="E137" s="46"/>
      <c r="F137" s="46"/>
      <c r="G137" s="46"/>
      <c r="H137" s="46"/>
      <c r="I137" s="46"/>
      <c r="J137" s="46"/>
      <c r="K137" s="46"/>
      <c r="L137" s="51"/>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51"/>
      <c r="BB137" s="46"/>
      <c r="BC137" s="46"/>
      <c r="BD137" s="46"/>
      <c r="BE137" s="46"/>
      <c r="BF137" s="46"/>
      <c r="BG137" s="46"/>
      <c r="BH137" s="46"/>
      <c r="BI137" s="46"/>
      <c r="BJ137" s="46"/>
      <c r="BK137" s="46"/>
      <c r="BL137" s="46"/>
      <c r="BM137" s="46"/>
      <c r="BN137" s="46"/>
      <c r="BO137" s="46"/>
      <c r="BP137" s="46"/>
      <c r="BQ137" s="46"/>
      <c r="BR137" s="46"/>
      <c r="BS137" s="46"/>
      <c r="BT137" s="46"/>
      <c r="BU137" s="46"/>
      <c r="BV137" s="46"/>
      <c r="BW137" s="46"/>
      <c r="BX137" s="46"/>
      <c r="BY137" s="46"/>
      <c r="BZ137" s="46"/>
      <c r="CA137" s="46"/>
      <c r="CB137" s="46"/>
      <c r="CC137" s="46"/>
      <c r="CD137" s="46"/>
      <c r="CE137" s="46"/>
      <c r="CF137" s="46"/>
      <c r="CG137" s="46"/>
      <c r="CH137" s="46"/>
      <c r="CI137" s="46"/>
      <c r="CJ137" s="46"/>
      <c r="CK137" s="46"/>
      <c r="CL137" s="46"/>
      <c r="CM137" s="46"/>
      <c r="CN137" s="46"/>
    </row>
    <row r="138">
      <c r="A138" s="46"/>
      <c r="B138" s="46"/>
      <c r="C138" s="46"/>
      <c r="D138" s="46"/>
      <c r="E138" s="46"/>
      <c r="F138" s="46"/>
      <c r="G138" s="46"/>
      <c r="H138" s="46"/>
      <c r="I138" s="46"/>
      <c r="J138" s="46"/>
      <c r="K138" s="46"/>
      <c r="L138" s="51"/>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51"/>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row>
    <row r="139">
      <c r="A139" s="46"/>
      <c r="B139" s="46"/>
      <c r="C139" s="46"/>
      <c r="D139" s="46"/>
      <c r="E139" s="46"/>
      <c r="F139" s="46"/>
      <c r="G139" s="46"/>
      <c r="H139" s="46"/>
      <c r="I139" s="46"/>
      <c r="J139" s="46"/>
      <c r="K139" s="46"/>
      <c r="L139" s="51"/>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51"/>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46"/>
      <c r="CD139" s="46"/>
      <c r="CE139" s="46"/>
      <c r="CF139" s="46"/>
      <c r="CG139" s="46"/>
      <c r="CH139" s="46"/>
      <c r="CI139" s="46"/>
      <c r="CJ139" s="46"/>
      <c r="CK139" s="46"/>
      <c r="CL139" s="46"/>
      <c r="CM139" s="46"/>
      <c r="CN139" s="46"/>
    </row>
    <row r="140">
      <c r="A140" s="46"/>
      <c r="B140" s="46"/>
      <c r="C140" s="46"/>
      <c r="D140" s="46"/>
      <c r="E140" s="46"/>
      <c r="F140" s="46"/>
      <c r="G140" s="46"/>
      <c r="H140" s="46"/>
      <c r="I140" s="46"/>
      <c r="J140" s="46"/>
      <c r="K140" s="46"/>
      <c r="L140" s="51"/>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51"/>
      <c r="BB140" s="46"/>
      <c r="BC140" s="46"/>
      <c r="BD140" s="46"/>
      <c r="BE140" s="46"/>
      <c r="BF140" s="46"/>
      <c r="BG140" s="46"/>
      <c r="BH140" s="46"/>
      <c r="BI140" s="46"/>
      <c r="BJ140" s="46"/>
      <c r="BK140" s="46"/>
      <c r="BL140" s="46"/>
      <c r="BM140" s="46"/>
      <c r="BN140" s="46"/>
      <c r="BO140" s="46"/>
      <c r="BP140" s="46"/>
      <c r="BQ140" s="46"/>
      <c r="BR140" s="46"/>
      <c r="BS140" s="46"/>
      <c r="BT140" s="46"/>
      <c r="BU140" s="46"/>
      <c r="BV140" s="46"/>
      <c r="BW140" s="46"/>
      <c r="BX140" s="46"/>
      <c r="BY140" s="46"/>
      <c r="BZ140" s="46"/>
      <c r="CA140" s="46"/>
      <c r="CB140" s="46"/>
      <c r="CC140" s="46"/>
      <c r="CD140" s="46"/>
      <c r="CE140" s="46"/>
      <c r="CF140" s="46"/>
      <c r="CG140" s="46"/>
      <c r="CH140" s="46"/>
      <c r="CI140" s="46"/>
      <c r="CJ140" s="46"/>
      <c r="CK140" s="46"/>
      <c r="CL140" s="46"/>
      <c r="CM140" s="46"/>
      <c r="CN140" s="46"/>
    </row>
    <row r="141">
      <c r="A141" s="46"/>
      <c r="B141" s="46"/>
      <c r="C141" s="46"/>
      <c r="D141" s="46"/>
      <c r="E141" s="46"/>
      <c r="F141" s="46"/>
      <c r="G141" s="46"/>
      <c r="H141" s="46"/>
      <c r="I141" s="46"/>
      <c r="J141" s="46"/>
      <c r="K141" s="46"/>
      <c r="L141" s="51"/>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51"/>
      <c r="BB141" s="46"/>
      <c r="BC141" s="46"/>
      <c r="BD141" s="46"/>
      <c r="BE141" s="46"/>
      <c r="BF141" s="46"/>
      <c r="BG141" s="46"/>
      <c r="BH141" s="46"/>
      <c r="BI141" s="46"/>
      <c r="BJ141" s="46"/>
      <c r="BK141" s="46"/>
      <c r="BL141" s="46"/>
      <c r="BM141" s="46"/>
      <c r="BN141" s="46"/>
      <c r="BO141" s="46"/>
      <c r="BP141" s="46"/>
      <c r="BQ141" s="46"/>
      <c r="BR141" s="46"/>
      <c r="BS141" s="46"/>
      <c r="BT141" s="46"/>
      <c r="BU141" s="46"/>
      <c r="BV141" s="46"/>
      <c r="BW141" s="46"/>
      <c r="BX141" s="46"/>
      <c r="BY141" s="46"/>
      <c r="BZ141" s="46"/>
      <c r="CA141" s="46"/>
      <c r="CB141" s="46"/>
      <c r="CC141" s="46"/>
      <c r="CD141" s="46"/>
      <c r="CE141" s="46"/>
      <c r="CF141" s="46"/>
      <c r="CG141" s="46"/>
      <c r="CH141" s="46"/>
      <c r="CI141" s="46"/>
      <c r="CJ141" s="46"/>
      <c r="CK141" s="46"/>
      <c r="CL141" s="46"/>
      <c r="CM141" s="46"/>
      <c r="CN141" s="46"/>
    </row>
    <row r="142">
      <c r="A142" s="46"/>
      <c r="B142" s="46"/>
      <c r="C142" s="46"/>
      <c r="D142" s="46"/>
      <c r="E142" s="46"/>
      <c r="F142" s="46"/>
      <c r="G142" s="46"/>
      <c r="H142" s="46"/>
      <c r="I142" s="46"/>
      <c r="J142" s="46"/>
      <c r="K142" s="46"/>
      <c r="L142" s="51"/>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51"/>
      <c r="BB142" s="46"/>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c r="CD142" s="46"/>
      <c r="CE142" s="46"/>
      <c r="CF142" s="46"/>
      <c r="CG142" s="46"/>
      <c r="CH142" s="46"/>
      <c r="CI142" s="46"/>
      <c r="CJ142" s="46"/>
      <c r="CK142" s="46"/>
      <c r="CL142" s="46"/>
      <c r="CM142" s="46"/>
      <c r="CN142" s="46"/>
    </row>
    <row r="143">
      <c r="A143" s="46"/>
      <c r="B143" s="46"/>
      <c r="C143" s="46"/>
      <c r="D143" s="46"/>
      <c r="E143" s="46"/>
      <c r="F143" s="46"/>
      <c r="G143" s="46"/>
      <c r="H143" s="46"/>
      <c r="I143" s="46"/>
      <c r="J143" s="46"/>
      <c r="K143" s="46"/>
      <c r="L143" s="51"/>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51"/>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6"/>
      <c r="BY143" s="46"/>
      <c r="BZ143" s="46"/>
      <c r="CA143" s="46"/>
      <c r="CB143" s="46"/>
      <c r="CC143" s="46"/>
      <c r="CD143" s="46"/>
      <c r="CE143" s="46"/>
      <c r="CF143" s="46"/>
      <c r="CG143" s="46"/>
      <c r="CH143" s="46"/>
      <c r="CI143" s="46"/>
      <c r="CJ143" s="46"/>
      <c r="CK143" s="46"/>
      <c r="CL143" s="46"/>
      <c r="CM143" s="46"/>
      <c r="CN143" s="46"/>
    </row>
    <row r="144">
      <c r="A144" s="46"/>
      <c r="B144" s="46"/>
      <c r="C144" s="46"/>
      <c r="D144" s="46"/>
      <c r="E144" s="46"/>
      <c r="F144" s="46"/>
      <c r="G144" s="46"/>
      <c r="H144" s="46"/>
      <c r="I144" s="46"/>
      <c r="J144" s="46"/>
      <c r="K144" s="46"/>
      <c r="L144" s="51"/>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51"/>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c r="CH144" s="46"/>
      <c r="CI144" s="46"/>
      <c r="CJ144" s="46"/>
      <c r="CK144" s="46"/>
      <c r="CL144" s="46"/>
      <c r="CM144" s="46"/>
      <c r="CN144" s="46"/>
    </row>
    <row r="145">
      <c r="A145" s="46"/>
      <c r="B145" s="46"/>
      <c r="C145" s="46"/>
      <c r="D145" s="46"/>
      <c r="E145" s="46"/>
      <c r="F145" s="46"/>
      <c r="G145" s="46"/>
      <c r="H145" s="46"/>
      <c r="I145" s="46"/>
      <c r="J145" s="46"/>
      <c r="K145" s="46"/>
      <c r="L145" s="51"/>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51"/>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c r="CB145" s="46"/>
      <c r="CC145" s="46"/>
      <c r="CD145" s="46"/>
      <c r="CE145" s="46"/>
      <c r="CF145" s="46"/>
      <c r="CG145" s="46"/>
      <c r="CH145" s="46"/>
      <c r="CI145" s="46"/>
      <c r="CJ145" s="46"/>
      <c r="CK145" s="46"/>
      <c r="CL145" s="46"/>
      <c r="CM145" s="46"/>
      <c r="CN145" s="46"/>
    </row>
    <row r="146">
      <c r="A146" s="46"/>
      <c r="B146" s="46"/>
      <c r="C146" s="46"/>
      <c r="D146" s="46"/>
      <c r="E146" s="46"/>
      <c r="F146" s="46"/>
      <c r="G146" s="46"/>
      <c r="H146" s="46"/>
      <c r="I146" s="46"/>
      <c r="J146" s="46"/>
      <c r="K146" s="46"/>
      <c r="L146" s="51"/>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51"/>
      <c r="BB146" s="46"/>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row>
    <row r="147">
      <c r="A147" s="46"/>
      <c r="B147" s="46"/>
      <c r="C147" s="46"/>
      <c r="D147" s="46"/>
      <c r="E147" s="46"/>
      <c r="F147" s="46"/>
      <c r="G147" s="46"/>
      <c r="H147" s="46"/>
      <c r="I147" s="46"/>
      <c r="J147" s="46"/>
      <c r="K147" s="46"/>
      <c r="L147" s="51"/>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51"/>
      <c r="BB147" s="46"/>
      <c r="BC147" s="46"/>
      <c r="BD147" s="46"/>
      <c r="BE147" s="46"/>
      <c r="BF147" s="46"/>
      <c r="BG147" s="46"/>
      <c r="BH147" s="46"/>
      <c r="BI147" s="46"/>
      <c r="BJ147" s="46"/>
      <c r="BK147" s="46"/>
      <c r="BL147" s="46"/>
      <c r="BM147" s="46"/>
      <c r="BN147" s="46"/>
      <c r="BO147" s="46"/>
      <c r="BP147" s="46"/>
      <c r="BQ147" s="46"/>
      <c r="BR147" s="46"/>
      <c r="BS147" s="46"/>
      <c r="BT147" s="46"/>
      <c r="BU147" s="46"/>
      <c r="BV147" s="46"/>
      <c r="BW147" s="46"/>
      <c r="BX147" s="46"/>
      <c r="BY147" s="46"/>
      <c r="BZ147" s="46"/>
      <c r="CA147" s="46"/>
      <c r="CB147" s="46"/>
      <c r="CC147" s="46"/>
      <c r="CD147" s="46"/>
      <c r="CE147" s="46"/>
      <c r="CF147" s="46"/>
      <c r="CG147" s="46"/>
      <c r="CH147" s="46"/>
      <c r="CI147" s="46"/>
      <c r="CJ147" s="46"/>
      <c r="CK147" s="46"/>
      <c r="CL147" s="46"/>
      <c r="CM147" s="46"/>
      <c r="CN147" s="46"/>
    </row>
    <row r="148">
      <c r="A148" s="46"/>
      <c r="B148" s="46"/>
      <c r="C148" s="46"/>
      <c r="D148" s="46"/>
      <c r="E148" s="46"/>
      <c r="F148" s="46"/>
      <c r="G148" s="46"/>
      <c r="H148" s="46"/>
      <c r="I148" s="46"/>
      <c r="J148" s="46"/>
      <c r="K148" s="46"/>
      <c r="L148" s="51"/>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51"/>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row>
    <row r="149">
      <c r="A149" s="46"/>
      <c r="B149" s="46"/>
      <c r="C149" s="46"/>
      <c r="D149" s="46"/>
      <c r="E149" s="46"/>
      <c r="F149" s="46"/>
      <c r="G149" s="46"/>
      <c r="H149" s="46"/>
      <c r="I149" s="46"/>
      <c r="J149" s="46"/>
      <c r="K149" s="46"/>
      <c r="L149" s="51"/>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51"/>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46"/>
      <c r="CD149" s="46"/>
      <c r="CE149" s="46"/>
      <c r="CF149" s="46"/>
      <c r="CG149" s="46"/>
      <c r="CH149" s="46"/>
      <c r="CI149" s="46"/>
      <c r="CJ149" s="46"/>
      <c r="CK149" s="46"/>
      <c r="CL149" s="46"/>
      <c r="CM149" s="46"/>
      <c r="CN149" s="46"/>
    </row>
    <row r="150">
      <c r="A150" s="46"/>
      <c r="B150" s="46"/>
      <c r="C150" s="46"/>
      <c r="D150" s="46"/>
      <c r="E150" s="46"/>
      <c r="F150" s="46"/>
      <c r="G150" s="46"/>
      <c r="H150" s="46"/>
      <c r="I150" s="46"/>
      <c r="J150" s="46"/>
      <c r="K150" s="46"/>
      <c r="L150" s="51"/>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51"/>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row>
    <row r="151">
      <c r="A151" s="46"/>
      <c r="B151" s="46"/>
      <c r="C151" s="46"/>
      <c r="D151" s="46"/>
      <c r="E151" s="46"/>
      <c r="F151" s="46"/>
      <c r="G151" s="46"/>
      <c r="H151" s="46"/>
      <c r="I151" s="46"/>
      <c r="J151" s="46"/>
      <c r="K151" s="46"/>
      <c r="L151" s="51"/>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51"/>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row>
    <row r="152">
      <c r="A152" s="46"/>
      <c r="B152" s="46"/>
      <c r="C152" s="46"/>
      <c r="D152" s="46"/>
      <c r="E152" s="46"/>
      <c r="F152" s="46"/>
      <c r="G152" s="46"/>
      <c r="H152" s="46"/>
      <c r="I152" s="46"/>
      <c r="J152" s="46"/>
      <c r="K152" s="46"/>
      <c r="L152" s="51"/>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51"/>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row>
    <row r="153">
      <c r="A153" s="46"/>
      <c r="B153" s="46"/>
      <c r="C153" s="46"/>
      <c r="D153" s="46"/>
      <c r="E153" s="46"/>
      <c r="F153" s="46"/>
      <c r="G153" s="46"/>
      <c r="H153" s="46"/>
      <c r="I153" s="46"/>
      <c r="J153" s="46"/>
      <c r="K153" s="46"/>
      <c r="L153" s="51"/>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51"/>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c r="CJ153" s="46"/>
      <c r="CK153" s="46"/>
      <c r="CL153" s="46"/>
      <c r="CM153" s="46"/>
      <c r="CN153" s="46"/>
    </row>
    <row r="154">
      <c r="A154" s="46"/>
      <c r="B154" s="46"/>
      <c r="C154" s="46"/>
      <c r="D154" s="46"/>
      <c r="E154" s="46"/>
      <c r="F154" s="46"/>
      <c r="G154" s="46"/>
      <c r="H154" s="46"/>
      <c r="I154" s="46"/>
      <c r="J154" s="46"/>
      <c r="K154" s="46"/>
      <c r="L154" s="51"/>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51"/>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row>
    <row r="155">
      <c r="A155" s="46"/>
      <c r="B155" s="46"/>
      <c r="C155" s="46"/>
      <c r="D155" s="46"/>
      <c r="E155" s="46"/>
      <c r="F155" s="46"/>
      <c r="G155" s="46"/>
      <c r="H155" s="46"/>
      <c r="I155" s="46"/>
      <c r="J155" s="46"/>
      <c r="K155" s="46"/>
      <c r="L155" s="51"/>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51"/>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row>
    <row r="156">
      <c r="A156" s="46"/>
      <c r="B156" s="46"/>
      <c r="C156" s="46"/>
      <c r="D156" s="46"/>
      <c r="E156" s="46"/>
      <c r="F156" s="46"/>
      <c r="G156" s="46"/>
      <c r="H156" s="46"/>
      <c r="I156" s="46"/>
      <c r="J156" s="46"/>
      <c r="K156" s="46"/>
      <c r="L156" s="51"/>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51"/>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row>
    <row r="157">
      <c r="A157" s="46"/>
      <c r="B157" s="46"/>
      <c r="C157" s="46"/>
      <c r="D157" s="46"/>
      <c r="E157" s="46"/>
      <c r="F157" s="46"/>
      <c r="G157" s="46"/>
      <c r="H157" s="46"/>
      <c r="I157" s="46"/>
      <c r="J157" s="46"/>
      <c r="K157" s="46"/>
      <c r="L157" s="51"/>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51"/>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46"/>
      <c r="CF157" s="46"/>
      <c r="CG157" s="46"/>
      <c r="CH157" s="46"/>
      <c r="CI157" s="46"/>
      <c r="CJ157" s="46"/>
      <c r="CK157" s="46"/>
      <c r="CL157" s="46"/>
      <c r="CM157" s="46"/>
      <c r="CN157" s="46"/>
    </row>
    <row r="158">
      <c r="A158" s="46"/>
      <c r="B158" s="46"/>
      <c r="C158" s="46"/>
      <c r="D158" s="46"/>
      <c r="E158" s="46"/>
      <c r="F158" s="46"/>
      <c r="G158" s="46"/>
      <c r="H158" s="46"/>
      <c r="I158" s="46"/>
      <c r="J158" s="46"/>
      <c r="K158" s="46"/>
      <c r="L158" s="51"/>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51"/>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row>
    <row r="159">
      <c r="A159" s="46"/>
      <c r="B159" s="46"/>
      <c r="C159" s="46"/>
      <c r="D159" s="46"/>
      <c r="E159" s="46"/>
      <c r="F159" s="46"/>
      <c r="G159" s="46"/>
      <c r="H159" s="46"/>
      <c r="I159" s="46"/>
      <c r="J159" s="46"/>
      <c r="K159" s="46"/>
      <c r="L159" s="51"/>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51"/>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row>
    <row r="160">
      <c r="A160" s="46"/>
      <c r="B160" s="46"/>
      <c r="C160" s="46"/>
      <c r="D160" s="46"/>
      <c r="E160" s="46"/>
      <c r="F160" s="46"/>
      <c r="G160" s="46"/>
      <c r="H160" s="46"/>
      <c r="I160" s="46"/>
      <c r="J160" s="46"/>
      <c r="K160" s="46"/>
      <c r="L160" s="51"/>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51"/>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row>
    <row r="161">
      <c r="A161" s="46"/>
      <c r="B161" s="46"/>
      <c r="C161" s="46"/>
      <c r="D161" s="46"/>
      <c r="E161" s="46"/>
      <c r="F161" s="46"/>
      <c r="G161" s="46"/>
      <c r="H161" s="46"/>
      <c r="I161" s="46"/>
      <c r="J161" s="46"/>
      <c r="K161" s="46"/>
      <c r="L161" s="51"/>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51"/>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row>
    <row r="162">
      <c r="A162" s="46"/>
      <c r="B162" s="46"/>
      <c r="C162" s="46"/>
      <c r="D162" s="46"/>
      <c r="E162" s="46"/>
      <c r="F162" s="46"/>
      <c r="G162" s="46"/>
      <c r="H162" s="46"/>
      <c r="I162" s="46"/>
      <c r="J162" s="46"/>
      <c r="K162" s="46"/>
      <c r="L162" s="51"/>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51"/>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row>
    <row r="163">
      <c r="A163" s="46"/>
      <c r="B163" s="46"/>
      <c r="C163" s="46"/>
      <c r="D163" s="46"/>
      <c r="E163" s="46"/>
      <c r="F163" s="46"/>
      <c r="G163" s="46"/>
      <c r="H163" s="46"/>
      <c r="I163" s="46"/>
      <c r="J163" s="46"/>
      <c r="K163" s="46"/>
      <c r="L163" s="51"/>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51"/>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row>
    <row r="164">
      <c r="A164" s="46"/>
      <c r="B164" s="46"/>
      <c r="C164" s="46"/>
      <c r="D164" s="46"/>
      <c r="E164" s="46"/>
      <c r="F164" s="46"/>
      <c r="G164" s="46"/>
      <c r="H164" s="46"/>
      <c r="I164" s="46"/>
      <c r="J164" s="46"/>
      <c r="K164" s="46"/>
      <c r="L164" s="51"/>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51"/>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row>
    <row r="165">
      <c r="A165" s="46"/>
      <c r="B165" s="46"/>
      <c r="C165" s="46"/>
      <c r="D165" s="46"/>
      <c r="E165" s="46"/>
      <c r="F165" s="46"/>
      <c r="G165" s="46"/>
      <c r="H165" s="46"/>
      <c r="I165" s="46"/>
      <c r="J165" s="46"/>
      <c r="K165" s="46"/>
      <c r="L165" s="51"/>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51"/>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row>
    <row r="166">
      <c r="A166" s="46"/>
      <c r="B166" s="46"/>
      <c r="C166" s="46"/>
      <c r="D166" s="46"/>
      <c r="E166" s="46"/>
      <c r="F166" s="46"/>
      <c r="G166" s="46"/>
      <c r="H166" s="46"/>
      <c r="I166" s="46"/>
      <c r="J166" s="46"/>
      <c r="K166" s="46"/>
      <c r="L166" s="51"/>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51"/>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row>
    <row r="167">
      <c r="A167" s="46"/>
      <c r="B167" s="46"/>
      <c r="C167" s="46"/>
      <c r="D167" s="46"/>
      <c r="E167" s="46"/>
      <c r="F167" s="46"/>
      <c r="G167" s="46"/>
      <c r="H167" s="46"/>
      <c r="I167" s="46"/>
      <c r="J167" s="46"/>
      <c r="K167" s="46"/>
      <c r="L167" s="51"/>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51"/>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row>
    <row r="168">
      <c r="A168" s="46"/>
      <c r="B168" s="46"/>
      <c r="C168" s="46"/>
      <c r="D168" s="46"/>
      <c r="E168" s="46"/>
      <c r="F168" s="46"/>
      <c r="G168" s="46"/>
      <c r="H168" s="46"/>
      <c r="I168" s="46"/>
      <c r="J168" s="46"/>
      <c r="K168" s="46"/>
      <c r="L168" s="51"/>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51"/>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row>
    <row r="169">
      <c r="A169" s="46"/>
      <c r="B169" s="46"/>
      <c r="C169" s="46"/>
      <c r="D169" s="46"/>
      <c r="E169" s="46"/>
      <c r="F169" s="46"/>
      <c r="G169" s="46"/>
      <c r="H169" s="46"/>
      <c r="I169" s="46"/>
      <c r="J169" s="46"/>
      <c r="K169" s="46"/>
      <c r="L169" s="51"/>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51"/>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row>
    <row r="170">
      <c r="A170" s="46"/>
      <c r="B170" s="46"/>
      <c r="C170" s="46"/>
      <c r="D170" s="46"/>
      <c r="E170" s="46"/>
      <c r="F170" s="46"/>
      <c r="G170" s="46"/>
      <c r="H170" s="46"/>
      <c r="I170" s="46"/>
      <c r="J170" s="46"/>
      <c r="K170" s="46"/>
      <c r="L170" s="51"/>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51"/>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row>
    <row r="171">
      <c r="A171" s="46"/>
      <c r="B171" s="46"/>
      <c r="C171" s="46"/>
      <c r="D171" s="46"/>
      <c r="E171" s="46"/>
      <c r="F171" s="46"/>
      <c r="G171" s="46"/>
      <c r="H171" s="46"/>
      <c r="I171" s="46"/>
      <c r="J171" s="46"/>
      <c r="K171" s="46"/>
      <c r="L171" s="51"/>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51"/>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row>
    <row r="172">
      <c r="A172" s="46"/>
      <c r="B172" s="46"/>
      <c r="C172" s="46"/>
      <c r="D172" s="46"/>
      <c r="E172" s="46"/>
      <c r="F172" s="46"/>
      <c r="G172" s="46"/>
      <c r="H172" s="46"/>
      <c r="I172" s="46"/>
      <c r="J172" s="46"/>
      <c r="K172" s="46"/>
      <c r="L172" s="51"/>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51"/>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row>
    <row r="173">
      <c r="A173" s="46"/>
      <c r="B173" s="46"/>
      <c r="C173" s="46"/>
      <c r="D173" s="46"/>
      <c r="E173" s="46"/>
      <c r="F173" s="46"/>
      <c r="G173" s="46"/>
      <c r="H173" s="46"/>
      <c r="I173" s="46"/>
      <c r="J173" s="46"/>
      <c r="K173" s="46"/>
      <c r="L173" s="51"/>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51"/>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row>
    <row r="174">
      <c r="A174" s="46"/>
      <c r="B174" s="46"/>
      <c r="C174" s="46"/>
      <c r="D174" s="46"/>
      <c r="E174" s="46"/>
      <c r="F174" s="46"/>
      <c r="G174" s="46"/>
      <c r="H174" s="46"/>
      <c r="I174" s="46"/>
      <c r="J174" s="46"/>
      <c r="K174" s="46"/>
      <c r="L174" s="51"/>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51"/>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row>
    <row r="175">
      <c r="A175" s="46"/>
      <c r="B175" s="46"/>
      <c r="C175" s="46"/>
      <c r="D175" s="46"/>
      <c r="E175" s="46"/>
      <c r="F175" s="46"/>
      <c r="G175" s="46"/>
      <c r="H175" s="46"/>
      <c r="I175" s="46"/>
      <c r="J175" s="46"/>
      <c r="K175" s="46"/>
      <c r="L175" s="51"/>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51"/>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row>
    <row r="176">
      <c r="A176" s="46"/>
      <c r="B176" s="46"/>
      <c r="C176" s="46"/>
      <c r="D176" s="46"/>
      <c r="E176" s="46"/>
      <c r="F176" s="46"/>
      <c r="G176" s="46"/>
      <c r="H176" s="46"/>
      <c r="I176" s="46"/>
      <c r="J176" s="46"/>
      <c r="K176" s="46"/>
      <c r="L176" s="51"/>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51"/>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row>
    <row r="177">
      <c r="A177" s="46"/>
      <c r="B177" s="46"/>
      <c r="C177" s="46"/>
      <c r="D177" s="46"/>
      <c r="E177" s="46"/>
      <c r="F177" s="46"/>
      <c r="G177" s="46"/>
      <c r="H177" s="46"/>
      <c r="I177" s="46"/>
      <c r="J177" s="46"/>
      <c r="K177" s="46"/>
      <c r="L177" s="51"/>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51"/>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row>
    <row r="178">
      <c r="A178" s="46"/>
      <c r="B178" s="46"/>
      <c r="C178" s="46"/>
      <c r="D178" s="46"/>
      <c r="E178" s="46"/>
      <c r="F178" s="46"/>
      <c r="G178" s="46"/>
      <c r="H178" s="46"/>
      <c r="I178" s="46"/>
      <c r="J178" s="46"/>
      <c r="K178" s="46"/>
      <c r="L178" s="51"/>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51"/>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row>
    <row r="179">
      <c r="A179" s="46"/>
      <c r="B179" s="46"/>
      <c r="C179" s="46"/>
      <c r="D179" s="46"/>
      <c r="E179" s="46"/>
      <c r="F179" s="46"/>
      <c r="G179" s="46"/>
      <c r="H179" s="46"/>
      <c r="I179" s="46"/>
      <c r="J179" s="46"/>
      <c r="K179" s="46"/>
      <c r="L179" s="51"/>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51"/>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row>
    <row r="180">
      <c r="A180" s="46"/>
      <c r="B180" s="46"/>
      <c r="C180" s="46"/>
      <c r="D180" s="46"/>
      <c r="E180" s="46"/>
      <c r="F180" s="46"/>
      <c r="G180" s="46"/>
      <c r="H180" s="46"/>
      <c r="I180" s="46"/>
      <c r="J180" s="46"/>
      <c r="K180" s="46"/>
      <c r="L180" s="51"/>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51"/>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row>
    <row r="181">
      <c r="A181" s="46"/>
      <c r="B181" s="46"/>
      <c r="C181" s="46"/>
      <c r="D181" s="46"/>
      <c r="E181" s="46"/>
      <c r="F181" s="46"/>
      <c r="G181" s="46"/>
      <c r="H181" s="46"/>
      <c r="I181" s="46"/>
      <c r="J181" s="46"/>
      <c r="K181" s="46"/>
      <c r="L181" s="51"/>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51"/>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row>
    <row r="182">
      <c r="A182" s="46"/>
      <c r="B182" s="46"/>
      <c r="C182" s="46"/>
      <c r="D182" s="46"/>
      <c r="E182" s="46"/>
      <c r="F182" s="46"/>
      <c r="G182" s="46"/>
      <c r="H182" s="46"/>
      <c r="I182" s="46"/>
      <c r="J182" s="46"/>
      <c r="K182" s="46"/>
      <c r="L182" s="51"/>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51"/>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row>
    <row r="183">
      <c r="A183" s="46"/>
      <c r="B183" s="46"/>
      <c r="C183" s="46"/>
      <c r="D183" s="46"/>
      <c r="E183" s="46"/>
      <c r="F183" s="46"/>
      <c r="G183" s="46"/>
      <c r="H183" s="46"/>
      <c r="I183" s="46"/>
      <c r="J183" s="46"/>
      <c r="K183" s="46"/>
      <c r="L183" s="51"/>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51"/>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row>
    <row r="184">
      <c r="A184" s="46"/>
      <c r="B184" s="46"/>
      <c r="C184" s="46"/>
      <c r="D184" s="46"/>
      <c r="E184" s="46"/>
      <c r="F184" s="46"/>
      <c r="G184" s="46"/>
      <c r="H184" s="46"/>
      <c r="I184" s="46"/>
      <c r="J184" s="46"/>
      <c r="K184" s="46"/>
      <c r="L184" s="51"/>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51"/>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row>
    <row r="185">
      <c r="A185" s="46"/>
      <c r="B185" s="46"/>
      <c r="C185" s="46"/>
      <c r="D185" s="46"/>
      <c r="E185" s="46"/>
      <c r="F185" s="46"/>
      <c r="G185" s="46"/>
      <c r="H185" s="46"/>
      <c r="I185" s="46"/>
      <c r="J185" s="46"/>
      <c r="K185" s="46"/>
      <c r="L185" s="51"/>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51"/>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row>
    <row r="186">
      <c r="A186" s="46"/>
      <c r="B186" s="46"/>
      <c r="C186" s="46"/>
      <c r="D186" s="46"/>
      <c r="E186" s="46"/>
      <c r="F186" s="46"/>
      <c r="G186" s="46"/>
      <c r="H186" s="46"/>
      <c r="I186" s="46"/>
      <c r="J186" s="46"/>
      <c r="K186" s="46"/>
      <c r="L186" s="51"/>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51"/>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row>
    <row r="187">
      <c r="A187" s="46"/>
      <c r="B187" s="46"/>
      <c r="C187" s="46"/>
      <c r="D187" s="46"/>
      <c r="E187" s="46"/>
      <c r="F187" s="46"/>
      <c r="G187" s="46"/>
      <c r="H187" s="46"/>
      <c r="I187" s="46"/>
      <c r="J187" s="46"/>
      <c r="K187" s="46"/>
      <c r="L187" s="51"/>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51"/>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row>
    <row r="188">
      <c r="A188" s="46"/>
      <c r="B188" s="46"/>
      <c r="C188" s="46"/>
      <c r="D188" s="46"/>
      <c r="E188" s="46"/>
      <c r="F188" s="46"/>
      <c r="G188" s="46"/>
      <c r="H188" s="46"/>
      <c r="I188" s="46"/>
      <c r="J188" s="46"/>
      <c r="K188" s="46"/>
      <c r="L188" s="51"/>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51"/>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row>
    <row r="189">
      <c r="A189" s="46"/>
      <c r="B189" s="46"/>
      <c r="C189" s="46"/>
      <c r="D189" s="46"/>
      <c r="E189" s="46"/>
      <c r="F189" s="46"/>
      <c r="G189" s="46"/>
      <c r="H189" s="46"/>
      <c r="I189" s="46"/>
      <c r="J189" s="46"/>
      <c r="K189" s="46"/>
      <c r="L189" s="51"/>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51"/>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row>
    <row r="190">
      <c r="A190" s="46"/>
      <c r="B190" s="46"/>
      <c r="C190" s="46"/>
      <c r="D190" s="46"/>
      <c r="E190" s="46"/>
      <c r="F190" s="46"/>
      <c r="G190" s="46"/>
      <c r="H190" s="46"/>
      <c r="I190" s="46"/>
      <c r="J190" s="46"/>
      <c r="K190" s="46"/>
      <c r="L190" s="51"/>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51"/>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row>
    <row r="191">
      <c r="A191" s="46"/>
      <c r="B191" s="46"/>
      <c r="C191" s="46"/>
      <c r="D191" s="46"/>
      <c r="E191" s="46"/>
      <c r="F191" s="46"/>
      <c r="G191" s="46"/>
      <c r="H191" s="46"/>
      <c r="I191" s="46"/>
      <c r="J191" s="46"/>
      <c r="K191" s="46"/>
      <c r="L191" s="51"/>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51"/>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row>
    <row r="192">
      <c r="A192" s="46"/>
      <c r="B192" s="46"/>
      <c r="C192" s="46"/>
      <c r="D192" s="46"/>
      <c r="E192" s="46"/>
      <c r="F192" s="46"/>
      <c r="G192" s="46"/>
      <c r="H192" s="46"/>
      <c r="I192" s="46"/>
      <c r="J192" s="46"/>
      <c r="K192" s="46"/>
      <c r="L192" s="51"/>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51"/>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row>
    <row r="193">
      <c r="A193" s="46"/>
      <c r="B193" s="46"/>
      <c r="C193" s="46"/>
      <c r="D193" s="46"/>
      <c r="E193" s="46"/>
      <c r="F193" s="46"/>
      <c r="G193" s="46"/>
      <c r="H193" s="46"/>
      <c r="I193" s="46"/>
      <c r="J193" s="46"/>
      <c r="K193" s="46"/>
      <c r="L193" s="51"/>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51"/>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46"/>
      <c r="BZ193" s="46"/>
      <c r="CA193" s="46"/>
      <c r="CB193" s="46"/>
      <c r="CC193" s="46"/>
      <c r="CD193" s="46"/>
      <c r="CE193" s="46"/>
      <c r="CF193" s="46"/>
      <c r="CG193" s="46"/>
      <c r="CH193" s="46"/>
      <c r="CI193" s="46"/>
      <c r="CJ193" s="46"/>
      <c r="CK193" s="46"/>
      <c r="CL193" s="46"/>
      <c r="CM193" s="46"/>
      <c r="CN193" s="46"/>
    </row>
    <row r="194">
      <c r="A194" s="46"/>
      <c r="B194" s="46"/>
      <c r="C194" s="46"/>
      <c r="D194" s="46"/>
      <c r="E194" s="46"/>
      <c r="F194" s="46"/>
      <c r="G194" s="46"/>
      <c r="H194" s="46"/>
      <c r="I194" s="46"/>
      <c r="J194" s="46"/>
      <c r="K194" s="46"/>
      <c r="L194" s="51"/>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51"/>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row>
    <row r="195">
      <c r="A195" s="46"/>
      <c r="B195" s="46"/>
      <c r="C195" s="46"/>
      <c r="D195" s="46"/>
      <c r="E195" s="46"/>
      <c r="F195" s="46"/>
      <c r="G195" s="46"/>
      <c r="H195" s="46"/>
      <c r="I195" s="46"/>
      <c r="J195" s="46"/>
      <c r="K195" s="46"/>
      <c r="L195" s="51"/>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51"/>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row>
    <row r="196">
      <c r="A196" s="46"/>
      <c r="B196" s="46"/>
      <c r="C196" s="46"/>
      <c r="D196" s="46"/>
      <c r="E196" s="46"/>
      <c r="F196" s="46"/>
      <c r="G196" s="46"/>
      <c r="H196" s="46"/>
      <c r="I196" s="46"/>
      <c r="J196" s="46"/>
      <c r="K196" s="46"/>
      <c r="L196" s="51"/>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51"/>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row>
    <row r="197">
      <c r="A197" s="46"/>
      <c r="B197" s="46"/>
      <c r="C197" s="46"/>
      <c r="D197" s="46"/>
      <c r="E197" s="46"/>
      <c r="F197" s="46"/>
      <c r="G197" s="46"/>
      <c r="H197" s="46"/>
      <c r="I197" s="46"/>
      <c r="J197" s="46"/>
      <c r="K197" s="46"/>
      <c r="L197" s="51"/>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51"/>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row>
    <row r="198">
      <c r="A198" s="46"/>
      <c r="B198" s="46"/>
      <c r="C198" s="46"/>
      <c r="D198" s="46"/>
      <c r="E198" s="46"/>
      <c r="F198" s="46"/>
      <c r="G198" s="46"/>
      <c r="H198" s="46"/>
      <c r="I198" s="46"/>
      <c r="J198" s="46"/>
      <c r="K198" s="46"/>
      <c r="L198" s="51"/>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51"/>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row>
    <row r="199">
      <c r="A199" s="46"/>
      <c r="B199" s="46"/>
      <c r="C199" s="46"/>
      <c r="D199" s="46"/>
      <c r="E199" s="46"/>
      <c r="F199" s="46"/>
      <c r="G199" s="46"/>
      <c r="H199" s="46"/>
      <c r="I199" s="46"/>
      <c r="J199" s="46"/>
      <c r="K199" s="46"/>
      <c r="L199" s="51"/>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51"/>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row>
    <row r="200">
      <c r="A200" s="46"/>
      <c r="B200" s="46"/>
      <c r="C200" s="46"/>
      <c r="D200" s="46"/>
      <c r="E200" s="46"/>
      <c r="F200" s="46"/>
      <c r="G200" s="46"/>
      <c r="H200" s="46"/>
      <c r="I200" s="46"/>
      <c r="J200" s="46"/>
      <c r="K200" s="46"/>
      <c r="L200" s="51"/>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51"/>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row>
    <row r="201">
      <c r="A201" s="46"/>
      <c r="B201" s="46"/>
      <c r="C201" s="46"/>
      <c r="D201" s="46"/>
      <c r="E201" s="46"/>
      <c r="F201" s="46"/>
      <c r="G201" s="46"/>
      <c r="H201" s="46"/>
      <c r="I201" s="46"/>
      <c r="J201" s="46"/>
      <c r="K201" s="46"/>
      <c r="L201" s="51"/>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51"/>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row>
    <row r="202">
      <c r="A202" s="46"/>
      <c r="B202" s="46"/>
      <c r="C202" s="46"/>
      <c r="D202" s="46"/>
      <c r="E202" s="46"/>
      <c r="F202" s="46"/>
      <c r="G202" s="46"/>
      <c r="H202" s="46"/>
      <c r="I202" s="46"/>
      <c r="J202" s="46"/>
      <c r="K202" s="46"/>
      <c r="L202" s="51"/>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51"/>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row>
    <row r="203">
      <c r="A203" s="46"/>
      <c r="B203" s="46"/>
      <c r="C203" s="46"/>
      <c r="D203" s="46"/>
      <c r="E203" s="46"/>
      <c r="F203" s="46"/>
      <c r="G203" s="46"/>
      <c r="H203" s="46"/>
      <c r="I203" s="46"/>
      <c r="J203" s="46"/>
      <c r="K203" s="46"/>
      <c r="L203" s="51"/>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51"/>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row>
    <row r="204">
      <c r="A204" s="46"/>
      <c r="B204" s="46"/>
      <c r="C204" s="46"/>
      <c r="D204" s="46"/>
      <c r="E204" s="46"/>
      <c r="F204" s="46"/>
      <c r="G204" s="46"/>
      <c r="H204" s="46"/>
      <c r="I204" s="46"/>
      <c r="J204" s="46"/>
      <c r="K204" s="46"/>
      <c r="L204" s="51"/>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51"/>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row>
    <row r="205">
      <c r="A205" s="46"/>
      <c r="B205" s="46"/>
      <c r="C205" s="46"/>
      <c r="D205" s="46"/>
      <c r="E205" s="46"/>
      <c r="F205" s="46"/>
      <c r="G205" s="46"/>
      <c r="H205" s="46"/>
      <c r="I205" s="46"/>
      <c r="J205" s="46"/>
      <c r="K205" s="46"/>
      <c r="L205" s="51"/>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51"/>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row>
    <row r="206">
      <c r="A206" s="46"/>
      <c r="B206" s="46"/>
      <c r="C206" s="46"/>
      <c r="D206" s="46"/>
      <c r="E206" s="46"/>
      <c r="F206" s="46"/>
      <c r="G206" s="46"/>
      <c r="H206" s="46"/>
      <c r="I206" s="46"/>
      <c r="J206" s="46"/>
      <c r="K206" s="46"/>
      <c r="L206" s="51"/>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51"/>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row>
    <row r="207">
      <c r="A207" s="46"/>
      <c r="B207" s="46"/>
      <c r="C207" s="46"/>
      <c r="D207" s="46"/>
      <c r="E207" s="46"/>
      <c r="F207" s="46"/>
      <c r="G207" s="46"/>
      <c r="H207" s="46"/>
      <c r="I207" s="46"/>
      <c r="J207" s="46"/>
      <c r="K207" s="46"/>
      <c r="L207" s="51"/>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51"/>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row>
    <row r="208">
      <c r="A208" s="46"/>
      <c r="B208" s="46"/>
      <c r="C208" s="46"/>
      <c r="D208" s="46"/>
      <c r="E208" s="46"/>
      <c r="F208" s="46"/>
      <c r="G208" s="46"/>
      <c r="H208" s="46"/>
      <c r="I208" s="46"/>
      <c r="J208" s="46"/>
      <c r="K208" s="46"/>
      <c r="L208" s="51"/>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51"/>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row>
    <row r="209">
      <c r="A209" s="46"/>
      <c r="B209" s="46"/>
      <c r="C209" s="46"/>
      <c r="D209" s="46"/>
      <c r="E209" s="46"/>
      <c r="F209" s="46"/>
      <c r="G209" s="46"/>
      <c r="H209" s="46"/>
      <c r="I209" s="46"/>
      <c r="J209" s="46"/>
      <c r="K209" s="46"/>
      <c r="L209" s="51"/>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51"/>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row>
    <row r="210">
      <c r="A210" s="46"/>
      <c r="B210" s="46"/>
      <c r="C210" s="46"/>
      <c r="D210" s="46"/>
      <c r="E210" s="46"/>
      <c r="F210" s="46"/>
      <c r="G210" s="46"/>
      <c r="H210" s="46"/>
      <c r="I210" s="46"/>
      <c r="J210" s="46"/>
      <c r="K210" s="46"/>
      <c r="L210" s="51"/>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51"/>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row>
    <row r="211">
      <c r="A211" s="46"/>
      <c r="B211" s="46"/>
      <c r="C211" s="46"/>
      <c r="D211" s="46"/>
      <c r="E211" s="46"/>
      <c r="F211" s="46"/>
      <c r="G211" s="46"/>
      <c r="H211" s="46"/>
      <c r="I211" s="46"/>
      <c r="J211" s="46"/>
      <c r="K211" s="46"/>
      <c r="L211" s="51"/>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51"/>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row>
    <row r="212">
      <c r="A212" s="46"/>
      <c r="B212" s="46"/>
      <c r="C212" s="46"/>
      <c r="D212" s="46"/>
      <c r="E212" s="46"/>
      <c r="F212" s="46"/>
      <c r="G212" s="46"/>
      <c r="H212" s="46"/>
      <c r="I212" s="46"/>
      <c r="J212" s="46"/>
      <c r="K212" s="46"/>
      <c r="L212" s="51"/>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51"/>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row>
    <row r="213">
      <c r="A213" s="46"/>
      <c r="B213" s="46"/>
      <c r="C213" s="46"/>
      <c r="D213" s="46"/>
      <c r="E213" s="46"/>
      <c r="F213" s="46"/>
      <c r="G213" s="46"/>
      <c r="H213" s="46"/>
      <c r="I213" s="46"/>
      <c r="J213" s="46"/>
      <c r="K213" s="46"/>
      <c r="L213" s="51"/>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51"/>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row>
    <row r="214">
      <c r="A214" s="46"/>
      <c r="B214" s="46"/>
      <c r="C214" s="46"/>
      <c r="D214" s="46"/>
      <c r="E214" s="46"/>
      <c r="F214" s="46"/>
      <c r="G214" s="46"/>
      <c r="H214" s="46"/>
      <c r="I214" s="46"/>
      <c r="J214" s="46"/>
      <c r="K214" s="46"/>
      <c r="L214" s="51"/>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51"/>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row>
    <row r="215">
      <c r="A215" s="46"/>
      <c r="B215" s="46"/>
      <c r="C215" s="46"/>
      <c r="D215" s="46"/>
      <c r="E215" s="46"/>
      <c r="F215" s="46"/>
      <c r="G215" s="46"/>
      <c r="H215" s="46"/>
      <c r="I215" s="46"/>
      <c r="J215" s="46"/>
      <c r="K215" s="46"/>
      <c r="L215" s="51"/>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51"/>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row>
    <row r="216">
      <c r="A216" s="46"/>
      <c r="B216" s="46"/>
      <c r="C216" s="46"/>
      <c r="D216" s="46"/>
      <c r="E216" s="46"/>
      <c r="F216" s="46"/>
      <c r="G216" s="46"/>
      <c r="H216" s="46"/>
      <c r="I216" s="46"/>
      <c r="J216" s="46"/>
      <c r="K216" s="46"/>
      <c r="L216" s="51"/>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51"/>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row>
    <row r="217">
      <c r="A217" s="46"/>
      <c r="B217" s="46"/>
      <c r="C217" s="46"/>
      <c r="D217" s="46"/>
      <c r="E217" s="46"/>
      <c r="F217" s="46"/>
      <c r="G217" s="46"/>
      <c r="H217" s="46"/>
      <c r="I217" s="46"/>
      <c r="J217" s="46"/>
      <c r="K217" s="46"/>
      <c r="L217" s="51"/>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51"/>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row>
    <row r="218">
      <c r="A218" s="46"/>
      <c r="B218" s="46"/>
      <c r="C218" s="46"/>
      <c r="D218" s="46"/>
      <c r="E218" s="46"/>
      <c r="F218" s="46"/>
      <c r="G218" s="46"/>
      <c r="H218" s="46"/>
      <c r="I218" s="46"/>
      <c r="J218" s="46"/>
      <c r="K218" s="46"/>
      <c r="L218" s="51"/>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51"/>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row>
    <row r="219">
      <c r="A219" s="46"/>
      <c r="B219" s="46"/>
      <c r="C219" s="46"/>
      <c r="D219" s="46"/>
      <c r="E219" s="46"/>
      <c r="F219" s="46"/>
      <c r="G219" s="46"/>
      <c r="H219" s="46"/>
      <c r="I219" s="46"/>
      <c r="J219" s="46"/>
      <c r="K219" s="46"/>
      <c r="L219" s="51"/>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51"/>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row>
    <row r="220">
      <c r="A220" s="46"/>
      <c r="B220" s="46"/>
      <c r="C220" s="46"/>
      <c r="D220" s="46"/>
      <c r="E220" s="46"/>
      <c r="F220" s="46"/>
      <c r="G220" s="46"/>
      <c r="H220" s="46"/>
      <c r="I220" s="46"/>
      <c r="J220" s="46"/>
      <c r="K220" s="46"/>
      <c r="L220" s="51"/>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51"/>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row>
    <row r="221">
      <c r="A221" s="46"/>
      <c r="B221" s="46"/>
      <c r="C221" s="46"/>
      <c r="D221" s="46"/>
      <c r="E221" s="46"/>
      <c r="F221" s="46"/>
      <c r="G221" s="46"/>
      <c r="H221" s="46"/>
      <c r="I221" s="46"/>
      <c r="J221" s="46"/>
      <c r="K221" s="46"/>
      <c r="L221" s="51"/>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51"/>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row>
    <row r="222">
      <c r="A222" s="46"/>
      <c r="B222" s="46"/>
      <c r="C222" s="46"/>
      <c r="D222" s="46"/>
      <c r="E222" s="46"/>
      <c r="F222" s="46"/>
      <c r="G222" s="46"/>
      <c r="H222" s="46"/>
      <c r="I222" s="46"/>
      <c r="J222" s="46"/>
      <c r="K222" s="46"/>
      <c r="L222" s="51"/>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51"/>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row>
    <row r="223">
      <c r="A223" s="46"/>
      <c r="B223" s="46"/>
      <c r="C223" s="46"/>
      <c r="D223" s="46"/>
      <c r="E223" s="46"/>
      <c r="F223" s="46"/>
      <c r="G223" s="46"/>
      <c r="H223" s="46"/>
      <c r="I223" s="46"/>
      <c r="J223" s="46"/>
      <c r="K223" s="46"/>
      <c r="L223" s="51"/>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51"/>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row>
    <row r="224">
      <c r="A224" s="46"/>
      <c r="B224" s="46"/>
      <c r="C224" s="46"/>
      <c r="D224" s="46"/>
      <c r="E224" s="46"/>
      <c r="F224" s="46"/>
      <c r="G224" s="46"/>
      <c r="H224" s="46"/>
      <c r="I224" s="46"/>
      <c r="J224" s="46"/>
      <c r="K224" s="46"/>
      <c r="L224" s="51"/>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51"/>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row>
    <row r="225">
      <c r="A225" s="46"/>
      <c r="B225" s="46"/>
      <c r="C225" s="46"/>
      <c r="D225" s="46"/>
      <c r="E225" s="46"/>
      <c r="F225" s="46"/>
      <c r="G225" s="46"/>
      <c r="H225" s="46"/>
      <c r="I225" s="46"/>
      <c r="J225" s="46"/>
      <c r="K225" s="46"/>
      <c r="L225" s="51"/>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51"/>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row>
    <row r="226">
      <c r="A226" s="46"/>
      <c r="B226" s="46"/>
      <c r="C226" s="46"/>
      <c r="D226" s="46"/>
      <c r="E226" s="46"/>
      <c r="F226" s="46"/>
      <c r="G226" s="46"/>
      <c r="H226" s="46"/>
      <c r="I226" s="46"/>
      <c r="J226" s="46"/>
      <c r="K226" s="46"/>
      <c r="L226" s="51"/>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51"/>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row>
    <row r="227">
      <c r="A227" s="46"/>
      <c r="B227" s="46"/>
      <c r="C227" s="46"/>
      <c r="D227" s="46"/>
      <c r="E227" s="46"/>
      <c r="F227" s="46"/>
      <c r="G227" s="46"/>
      <c r="H227" s="46"/>
      <c r="I227" s="46"/>
      <c r="J227" s="46"/>
      <c r="K227" s="46"/>
      <c r="L227" s="51"/>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51"/>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row>
    <row r="228">
      <c r="A228" s="46"/>
      <c r="B228" s="46"/>
      <c r="C228" s="46"/>
      <c r="D228" s="46"/>
      <c r="E228" s="46"/>
      <c r="F228" s="46"/>
      <c r="G228" s="46"/>
      <c r="H228" s="46"/>
      <c r="I228" s="46"/>
      <c r="J228" s="46"/>
      <c r="K228" s="46"/>
      <c r="L228" s="51"/>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51"/>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row>
    <row r="229">
      <c r="A229" s="46"/>
      <c r="B229" s="46"/>
      <c r="C229" s="46"/>
      <c r="D229" s="46"/>
      <c r="E229" s="46"/>
      <c r="F229" s="46"/>
      <c r="G229" s="46"/>
      <c r="H229" s="46"/>
      <c r="I229" s="46"/>
      <c r="J229" s="46"/>
      <c r="K229" s="46"/>
      <c r="L229" s="51"/>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51"/>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row>
    <row r="230">
      <c r="A230" s="46"/>
      <c r="B230" s="46"/>
      <c r="C230" s="46"/>
      <c r="D230" s="46"/>
      <c r="E230" s="46"/>
      <c r="F230" s="46"/>
      <c r="G230" s="46"/>
      <c r="H230" s="46"/>
      <c r="I230" s="46"/>
      <c r="J230" s="46"/>
      <c r="K230" s="46"/>
      <c r="L230" s="51"/>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51"/>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row>
    <row r="231">
      <c r="A231" s="46"/>
      <c r="B231" s="46"/>
      <c r="C231" s="46"/>
      <c r="D231" s="46"/>
      <c r="E231" s="46"/>
      <c r="F231" s="46"/>
      <c r="G231" s="46"/>
      <c r="H231" s="46"/>
      <c r="I231" s="46"/>
      <c r="J231" s="46"/>
      <c r="K231" s="46"/>
      <c r="L231" s="51"/>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51"/>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row>
    <row r="232">
      <c r="A232" s="46"/>
      <c r="B232" s="46"/>
      <c r="C232" s="46"/>
      <c r="D232" s="46"/>
      <c r="E232" s="46"/>
      <c r="F232" s="46"/>
      <c r="G232" s="46"/>
      <c r="H232" s="46"/>
      <c r="I232" s="46"/>
      <c r="J232" s="46"/>
      <c r="K232" s="46"/>
      <c r="L232" s="51"/>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51"/>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row>
    <row r="233">
      <c r="A233" s="46"/>
      <c r="B233" s="46"/>
      <c r="C233" s="46"/>
      <c r="D233" s="46"/>
      <c r="E233" s="46"/>
      <c r="F233" s="46"/>
      <c r="G233" s="46"/>
      <c r="H233" s="46"/>
      <c r="I233" s="46"/>
      <c r="J233" s="46"/>
      <c r="K233" s="46"/>
      <c r="L233" s="51"/>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51"/>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row>
    <row r="234">
      <c r="A234" s="46"/>
      <c r="B234" s="46"/>
      <c r="C234" s="46"/>
      <c r="D234" s="46"/>
      <c r="E234" s="46"/>
      <c r="F234" s="46"/>
      <c r="G234" s="46"/>
      <c r="H234" s="46"/>
      <c r="I234" s="46"/>
      <c r="J234" s="46"/>
      <c r="K234" s="46"/>
      <c r="L234" s="51"/>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51"/>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row>
    <row r="235">
      <c r="A235" s="46"/>
      <c r="B235" s="46"/>
      <c r="C235" s="46"/>
      <c r="D235" s="46"/>
      <c r="E235" s="46"/>
      <c r="F235" s="46"/>
      <c r="G235" s="46"/>
      <c r="H235" s="46"/>
      <c r="I235" s="46"/>
      <c r="J235" s="46"/>
      <c r="K235" s="46"/>
      <c r="L235" s="51"/>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51"/>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row>
    <row r="236">
      <c r="A236" s="46"/>
      <c r="B236" s="46"/>
      <c r="C236" s="46"/>
      <c r="D236" s="46"/>
      <c r="E236" s="46"/>
      <c r="F236" s="46"/>
      <c r="G236" s="46"/>
      <c r="H236" s="46"/>
      <c r="I236" s="46"/>
      <c r="J236" s="46"/>
      <c r="K236" s="46"/>
      <c r="L236" s="51"/>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51"/>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row>
    <row r="237">
      <c r="A237" s="46"/>
      <c r="B237" s="46"/>
      <c r="C237" s="46"/>
      <c r="D237" s="46"/>
      <c r="E237" s="46"/>
      <c r="F237" s="46"/>
      <c r="G237" s="46"/>
      <c r="H237" s="46"/>
      <c r="I237" s="46"/>
      <c r="J237" s="46"/>
      <c r="K237" s="46"/>
      <c r="L237" s="51"/>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51"/>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row>
    <row r="238">
      <c r="A238" s="46"/>
      <c r="B238" s="46"/>
      <c r="C238" s="46"/>
      <c r="D238" s="46"/>
      <c r="E238" s="46"/>
      <c r="F238" s="46"/>
      <c r="G238" s="46"/>
      <c r="H238" s="46"/>
      <c r="I238" s="46"/>
      <c r="J238" s="46"/>
      <c r="K238" s="46"/>
      <c r="L238" s="51"/>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51"/>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row>
    <row r="239">
      <c r="A239" s="46"/>
      <c r="B239" s="46"/>
      <c r="C239" s="46"/>
      <c r="D239" s="46"/>
      <c r="E239" s="46"/>
      <c r="F239" s="46"/>
      <c r="G239" s="46"/>
      <c r="H239" s="46"/>
      <c r="I239" s="46"/>
      <c r="J239" s="46"/>
      <c r="K239" s="46"/>
      <c r="L239" s="51"/>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51"/>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46"/>
      <c r="CF239" s="46"/>
      <c r="CG239" s="46"/>
      <c r="CH239" s="46"/>
      <c r="CI239" s="46"/>
      <c r="CJ239" s="46"/>
      <c r="CK239" s="46"/>
      <c r="CL239" s="46"/>
      <c r="CM239" s="46"/>
      <c r="CN239" s="46"/>
    </row>
    <row r="240">
      <c r="A240" s="46"/>
      <c r="B240" s="46"/>
      <c r="C240" s="46"/>
      <c r="D240" s="46"/>
      <c r="E240" s="46"/>
      <c r="F240" s="46"/>
      <c r="G240" s="46"/>
      <c r="H240" s="46"/>
      <c r="I240" s="46"/>
      <c r="J240" s="46"/>
      <c r="K240" s="46"/>
      <c r="L240" s="51"/>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51"/>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row>
    <row r="241">
      <c r="A241" s="46"/>
      <c r="B241" s="46"/>
      <c r="C241" s="46"/>
      <c r="D241" s="46"/>
      <c r="E241" s="46"/>
      <c r="F241" s="46"/>
      <c r="G241" s="46"/>
      <c r="H241" s="46"/>
      <c r="I241" s="46"/>
      <c r="J241" s="46"/>
      <c r="K241" s="46"/>
      <c r="L241" s="51"/>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51"/>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row>
    <row r="242">
      <c r="A242" s="46"/>
      <c r="B242" s="46"/>
      <c r="C242" s="46"/>
      <c r="D242" s="46"/>
      <c r="E242" s="46"/>
      <c r="F242" s="46"/>
      <c r="G242" s="46"/>
      <c r="H242" s="46"/>
      <c r="I242" s="46"/>
      <c r="J242" s="46"/>
      <c r="K242" s="46"/>
      <c r="L242" s="51"/>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51"/>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row>
    <row r="243">
      <c r="A243" s="46"/>
      <c r="B243" s="46"/>
      <c r="C243" s="46"/>
      <c r="D243" s="46"/>
      <c r="E243" s="46"/>
      <c r="F243" s="46"/>
      <c r="G243" s="46"/>
      <c r="H243" s="46"/>
      <c r="I243" s="46"/>
      <c r="J243" s="46"/>
      <c r="K243" s="46"/>
      <c r="L243" s="51"/>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51"/>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row>
    <row r="244">
      <c r="A244" s="46"/>
      <c r="B244" s="46"/>
      <c r="C244" s="46"/>
      <c r="D244" s="46"/>
      <c r="E244" s="46"/>
      <c r="F244" s="46"/>
      <c r="G244" s="46"/>
      <c r="H244" s="46"/>
      <c r="I244" s="46"/>
      <c r="J244" s="46"/>
      <c r="K244" s="46"/>
      <c r="L244" s="51"/>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51"/>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row>
    <row r="245">
      <c r="A245" s="46"/>
      <c r="B245" s="46"/>
      <c r="C245" s="46"/>
      <c r="D245" s="46"/>
      <c r="E245" s="46"/>
      <c r="F245" s="46"/>
      <c r="G245" s="46"/>
      <c r="H245" s="46"/>
      <c r="I245" s="46"/>
      <c r="J245" s="46"/>
      <c r="K245" s="46"/>
      <c r="L245" s="51"/>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51"/>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row>
    <row r="246">
      <c r="A246" s="46"/>
      <c r="B246" s="46"/>
      <c r="C246" s="46"/>
      <c r="D246" s="46"/>
      <c r="E246" s="46"/>
      <c r="F246" s="46"/>
      <c r="G246" s="46"/>
      <c r="H246" s="46"/>
      <c r="I246" s="46"/>
      <c r="J246" s="46"/>
      <c r="K246" s="46"/>
      <c r="L246" s="51"/>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51"/>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row>
    <row r="247">
      <c r="A247" s="46"/>
      <c r="B247" s="46"/>
      <c r="C247" s="46"/>
      <c r="D247" s="46"/>
      <c r="E247" s="46"/>
      <c r="F247" s="46"/>
      <c r="G247" s="46"/>
      <c r="H247" s="46"/>
      <c r="I247" s="46"/>
      <c r="J247" s="46"/>
      <c r="K247" s="46"/>
      <c r="L247" s="51"/>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51"/>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row>
    <row r="248">
      <c r="A248" s="46"/>
      <c r="B248" s="46"/>
      <c r="C248" s="46"/>
      <c r="D248" s="46"/>
      <c r="E248" s="46"/>
      <c r="F248" s="46"/>
      <c r="G248" s="46"/>
      <c r="H248" s="46"/>
      <c r="I248" s="46"/>
      <c r="J248" s="46"/>
      <c r="K248" s="46"/>
      <c r="L248" s="51"/>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51"/>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row>
    <row r="249">
      <c r="A249" s="46"/>
      <c r="B249" s="46"/>
      <c r="C249" s="46"/>
      <c r="D249" s="46"/>
      <c r="E249" s="46"/>
      <c r="F249" s="46"/>
      <c r="G249" s="46"/>
      <c r="H249" s="46"/>
      <c r="I249" s="46"/>
      <c r="J249" s="46"/>
      <c r="K249" s="46"/>
      <c r="L249" s="51"/>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51"/>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row>
    <row r="250">
      <c r="A250" s="46"/>
      <c r="B250" s="46"/>
      <c r="C250" s="46"/>
      <c r="D250" s="46"/>
      <c r="E250" s="46"/>
      <c r="F250" s="46"/>
      <c r="G250" s="46"/>
      <c r="H250" s="46"/>
      <c r="I250" s="46"/>
      <c r="J250" s="46"/>
      <c r="K250" s="46"/>
      <c r="L250" s="51"/>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51"/>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row>
    <row r="251">
      <c r="A251" s="46"/>
      <c r="B251" s="46"/>
      <c r="C251" s="46"/>
      <c r="D251" s="46"/>
      <c r="E251" s="46"/>
      <c r="F251" s="46"/>
      <c r="G251" s="46"/>
      <c r="H251" s="46"/>
      <c r="I251" s="46"/>
      <c r="J251" s="46"/>
      <c r="K251" s="46"/>
      <c r="L251" s="51"/>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51"/>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c r="CD251" s="46"/>
      <c r="CE251" s="46"/>
      <c r="CF251" s="46"/>
      <c r="CG251" s="46"/>
      <c r="CH251" s="46"/>
      <c r="CI251" s="46"/>
      <c r="CJ251" s="46"/>
      <c r="CK251" s="46"/>
      <c r="CL251" s="46"/>
      <c r="CM251" s="46"/>
      <c r="CN251" s="46"/>
    </row>
    <row r="252">
      <c r="A252" s="46"/>
      <c r="B252" s="46"/>
      <c r="C252" s="46"/>
      <c r="D252" s="46"/>
      <c r="E252" s="46"/>
      <c r="F252" s="46"/>
      <c r="G252" s="46"/>
      <c r="H252" s="46"/>
      <c r="I252" s="46"/>
      <c r="J252" s="46"/>
      <c r="K252" s="46"/>
      <c r="L252" s="51"/>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51"/>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row>
    <row r="253">
      <c r="A253" s="46"/>
      <c r="B253" s="46"/>
      <c r="C253" s="46"/>
      <c r="D253" s="46"/>
      <c r="E253" s="46"/>
      <c r="F253" s="46"/>
      <c r="G253" s="46"/>
      <c r="H253" s="46"/>
      <c r="I253" s="46"/>
      <c r="J253" s="46"/>
      <c r="K253" s="46"/>
      <c r="L253" s="51"/>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51"/>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row>
    <row r="254">
      <c r="A254" s="46"/>
      <c r="B254" s="46"/>
      <c r="C254" s="46"/>
      <c r="D254" s="46"/>
      <c r="E254" s="46"/>
      <c r="F254" s="46"/>
      <c r="G254" s="46"/>
      <c r="H254" s="46"/>
      <c r="I254" s="46"/>
      <c r="J254" s="46"/>
      <c r="K254" s="46"/>
      <c r="L254" s="51"/>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51"/>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row>
    <row r="255">
      <c r="A255" s="46"/>
      <c r="B255" s="46"/>
      <c r="C255" s="46"/>
      <c r="D255" s="46"/>
      <c r="E255" s="46"/>
      <c r="F255" s="46"/>
      <c r="G255" s="46"/>
      <c r="H255" s="46"/>
      <c r="I255" s="46"/>
      <c r="J255" s="46"/>
      <c r="K255" s="46"/>
      <c r="L255" s="51"/>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51"/>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row>
    <row r="256">
      <c r="A256" s="46"/>
      <c r="B256" s="46"/>
      <c r="C256" s="46"/>
      <c r="D256" s="46"/>
      <c r="E256" s="46"/>
      <c r="F256" s="46"/>
      <c r="G256" s="46"/>
      <c r="H256" s="46"/>
      <c r="I256" s="46"/>
      <c r="J256" s="46"/>
      <c r="K256" s="46"/>
      <c r="L256" s="51"/>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51"/>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row>
    <row r="257">
      <c r="A257" s="46"/>
      <c r="B257" s="46"/>
      <c r="C257" s="46"/>
      <c r="D257" s="46"/>
      <c r="E257" s="46"/>
      <c r="F257" s="46"/>
      <c r="G257" s="46"/>
      <c r="H257" s="46"/>
      <c r="I257" s="46"/>
      <c r="J257" s="46"/>
      <c r="K257" s="46"/>
      <c r="L257" s="51"/>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51"/>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row>
    <row r="258">
      <c r="A258" s="46"/>
      <c r="B258" s="46"/>
      <c r="C258" s="46"/>
      <c r="D258" s="46"/>
      <c r="E258" s="46"/>
      <c r="F258" s="46"/>
      <c r="G258" s="46"/>
      <c r="H258" s="46"/>
      <c r="I258" s="46"/>
      <c r="J258" s="46"/>
      <c r="K258" s="46"/>
      <c r="L258" s="51"/>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51"/>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row>
    <row r="259">
      <c r="A259" s="46"/>
      <c r="B259" s="46"/>
      <c r="C259" s="46"/>
      <c r="D259" s="46"/>
      <c r="E259" s="46"/>
      <c r="F259" s="46"/>
      <c r="G259" s="46"/>
      <c r="H259" s="46"/>
      <c r="I259" s="46"/>
      <c r="J259" s="46"/>
      <c r="K259" s="46"/>
      <c r="L259" s="51"/>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51"/>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c r="CD259" s="46"/>
      <c r="CE259" s="46"/>
      <c r="CF259" s="46"/>
      <c r="CG259" s="46"/>
      <c r="CH259" s="46"/>
      <c r="CI259" s="46"/>
      <c r="CJ259" s="46"/>
      <c r="CK259" s="46"/>
      <c r="CL259" s="46"/>
      <c r="CM259" s="46"/>
      <c r="CN259" s="46"/>
    </row>
    <row r="260">
      <c r="A260" s="46"/>
      <c r="B260" s="46"/>
      <c r="C260" s="46"/>
      <c r="D260" s="46"/>
      <c r="E260" s="46"/>
      <c r="F260" s="46"/>
      <c r="G260" s="46"/>
      <c r="H260" s="46"/>
      <c r="I260" s="46"/>
      <c r="J260" s="46"/>
      <c r="K260" s="46"/>
      <c r="L260" s="51"/>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51"/>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row>
    <row r="261">
      <c r="A261" s="46"/>
      <c r="B261" s="46"/>
      <c r="C261" s="46"/>
      <c r="D261" s="46"/>
      <c r="E261" s="46"/>
      <c r="F261" s="46"/>
      <c r="G261" s="46"/>
      <c r="H261" s="46"/>
      <c r="I261" s="46"/>
      <c r="J261" s="46"/>
      <c r="K261" s="46"/>
      <c r="L261" s="51"/>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51"/>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row>
    <row r="262">
      <c r="A262" s="46"/>
      <c r="B262" s="46"/>
      <c r="C262" s="46"/>
      <c r="D262" s="46"/>
      <c r="E262" s="46"/>
      <c r="F262" s="46"/>
      <c r="G262" s="46"/>
      <c r="H262" s="46"/>
      <c r="I262" s="46"/>
      <c r="J262" s="46"/>
      <c r="K262" s="46"/>
      <c r="L262" s="51"/>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51"/>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row>
    <row r="263">
      <c r="A263" s="46"/>
      <c r="B263" s="46"/>
      <c r="C263" s="46"/>
      <c r="D263" s="46"/>
      <c r="E263" s="46"/>
      <c r="F263" s="46"/>
      <c r="G263" s="46"/>
      <c r="H263" s="46"/>
      <c r="I263" s="46"/>
      <c r="J263" s="46"/>
      <c r="K263" s="46"/>
      <c r="L263" s="51"/>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51"/>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c r="CD263" s="46"/>
      <c r="CE263" s="46"/>
      <c r="CF263" s="46"/>
      <c r="CG263" s="46"/>
      <c r="CH263" s="46"/>
      <c r="CI263" s="46"/>
      <c r="CJ263" s="46"/>
      <c r="CK263" s="46"/>
      <c r="CL263" s="46"/>
      <c r="CM263" s="46"/>
      <c r="CN263" s="46"/>
    </row>
    <row r="264">
      <c r="A264" s="46"/>
      <c r="B264" s="46"/>
      <c r="C264" s="46"/>
      <c r="D264" s="46"/>
      <c r="E264" s="46"/>
      <c r="F264" s="46"/>
      <c r="G264" s="46"/>
      <c r="H264" s="46"/>
      <c r="I264" s="46"/>
      <c r="J264" s="46"/>
      <c r="K264" s="46"/>
      <c r="L264" s="51"/>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51"/>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c r="CD264" s="46"/>
      <c r="CE264" s="46"/>
      <c r="CF264" s="46"/>
      <c r="CG264" s="46"/>
      <c r="CH264" s="46"/>
      <c r="CI264" s="46"/>
      <c r="CJ264" s="46"/>
      <c r="CK264" s="46"/>
      <c r="CL264" s="46"/>
      <c r="CM264" s="46"/>
      <c r="CN264" s="46"/>
    </row>
    <row r="265">
      <c r="A265" s="46"/>
      <c r="B265" s="46"/>
      <c r="C265" s="46"/>
      <c r="D265" s="46"/>
      <c r="E265" s="46"/>
      <c r="F265" s="46"/>
      <c r="G265" s="46"/>
      <c r="H265" s="46"/>
      <c r="I265" s="46"/>
      <c r="J265" s="46"/>
      <c r="K265" s="46"/>
      <c r="L265" s="51"/>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51"/>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row>
    <row r="266">
      <c r="A266" s="46"/>
      <c r="B266" s="46"/>
      <c r="C266" s="46"/>
      <c r="D266" s="46"/>
      <c r="E266" s="46"/>
      <c r="F266" s="46"/>
      <c r="G266" s="46"/>
      <c r="H266" s="46"/>
      <c r="I266" s="46"/>
      <c r="J266" s="46"/>
      <c r="K266" s="46"/>
      <c r="L266" s="51"/>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51"/>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c r="CD266" s="46"/>
      <c r="CE266" s="46"/>
      <c r="CF266" s="46"/>
      <c r="CG266" s="46"/>
      <c r="CH266" s="46"/>
      <c r="CI266" s="46"/>
      <c r="CJ266" s="46"/>
      <c r="CK266" s="46"/>
      <c r="CL266" s="46"/>
      <c r="CM266" s="46"/>
      <c r="CN266" s="46"/>
    </row>
    <row r="267">
      <c r="A267" s="46"/>
      <c r="B267" s="46"/>
      <c r="C267" s="46"/>
      <c r="D267" s="46"/>
      <c r="E267" s="46"/>
      <c r="F267" s="46"/>
      <c r="G267" s="46"/>
      <c r="H267" s="46"/>
      <c r="I267" s="46"/>
      <c r="J267" s="46"/>
      <c r="K267" s="46"/>
      <c r="L267" s="51"/>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51"/>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46"/>
      <c r="BZ267" s="46"/>
      <c r="CA267" s="46"/>
      <c r="CB267" s="46"/>
      <c r="CC267" s="46"/>
      <c r="CD267" s="46"/>
      <c r="CE267" s="46"/>
      <c r="CF267" s="46"/>
      <c r="CG267" s="46"/>
      <c r="CH267" s="46"/>
      <c r="CI267" s="46"/>
      <c r="CJ267" s="46"/>
      <c r="CK267" s="46"/>
      <c r="CL267" s="46"/>
      <c r="CM267" s="46"/>
      <c r="CN267" s="46"/>
    </row>
    <row r="268">
      <c r="A268" s="46"/>
      <c r="B268" s="46"/>
      <c r="C268" s="46"/>
      <c r="D268" s="46"/>
      <c r="E268" s="46"/>
      <c r="F268" s="46"/>
      <c r="G268" s="46"/>
      <c r="H268" s="46"/>
      <c r="I268" s="46"/>
      <c r="J268" s="46"/>
      <c r="K268" s="46"/>
      <c r="L268" s="51"/>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51"/>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c r="CD268" s="46"/>
      <c r="CE268" s="46"/>
      <c r="CF268" s="46"/>
      <c r="CG268" s="46"/>
      <c r="CH268" s="46"/>
      <c r="CI268" s="46"/>
      <c r="CJ268" s="46"/>
      <c r="CK268" s="46"/>
      <c r="CL268" s="46"/>
      <c r="CM268" s="46"/>
      <c r="CN268" s="46"/>
    </row>
    <row r="269">
      <c r="A269" s="46"/>
      <c r="B269" s="46"/>
      <c r="C269" s="46"/>
      <c r="D269" s="46"/>
      <c r="E269" s="46"/>
      <c r="F269" s="46"/>
      <c r="G269" s="46"/>
      <c r="H269" s="46"/>
      <c r="I269" s="46"/>
      <c r="J269" s="46"/>
      <c r="K269" s="46"/>
      <c r="L269" s="51"/>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51"/>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46"/>
      <c r="BZ269" s="46"/>
      <c r="CA269" s="46"/>
      <c r="CB269" s="46"/>
      <c r="CC269" s="46"/>
      <c r="CD269" s="46"/>
      <c r="CE269" s="46"/>
      <c r="CF269" s="46"/>
      <c r="CG269" s="46"/>
      <c r="CH269" s="46"/>
      <c r="CI269" s="46"/>
      <c r="CJ269" s="46"/>
      <c r="CK269" s="46"/>
      <c r="CL269" s="46"/>
      <c r="CM269" s="46"/>
      <c r="CN269" s="46"/>
    </row>
    <row r="270">
      <c r="A270" s="46"/>
      <c r="B270" s="46"/>
      <c r="C270" s="46"/>
      <c r="D270" s="46"/>
      <c r="E270" s="46"/>
      <c r="F270" s="46"/>
      <c r="G270" s="46"/>
      <c r="H270" s="46"/>
      <c r="I270" s="46"/>
      <c r="J270" s="46"/>
      <c r="K270" s="46"/>
      <c r="L270" s="51"/>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51"/>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row>
    <row r="271">
      <c r="A271" s="46"/>
      <c r="B271" s="46"/>
      <c r="C271" s="46"/>
      <c r="D271" s="46"/>
      <c r="E271" s="46"/>
      <c r="F271" s="46"/>
      <c r="G271" s="46"/>
      <c r="H271" s="46"/>
      <c r="I271" s="46"/>
      <c r="J271" s="46"/>
      <c r="K271" s="46"/>
      <c r="L271" s="51"/>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51"/>
      <c r="BB271" s="46"/>
      <c r="BC271" s="46"/>
      <c r="BD271" s="46"/>
      <c r="BE271" s="46"/>
      <c r="BF271" s="46"/>
      <c r="BG271" s="46"/>
      <c r="BH271" s="46"/>
      <c r="BI271" s="46"/>
      <c r="BJ271" s="46"/>
      <c r="BK271" s="46"/>
      <c r="BL271" s="46"/>
      <c r="BM271" s="46"/>
      <c r="BN271" s="46"/>
      <c r="BO271" s="46"/>
      <c r="BP271" s="46"/>
      <c r="BQ271" s="46"/>
      <c r="BR271" s="46"/>
      <c r="BS271" s="46"/>
      <c r="BT271" s="46"/>
      <c r="BU271" s="46"/>
      <c r="BV271" s="46"/>
      <c r="BW271" s="46"/>
      <c r="BX271" s="46"/>
      <c r="BY271" s="46"/>
      <c r="BZ271" s="46"/>
      <c r="CA271" s="46"/>
      <c r="CB271" s="46"/>
      <c r="CC271" s="46"/>
      <c r="CD271" s="46"/>
      <c r="CE271" s="46"/>
      <c r="CF271" s="46"/>
      <c r="CG271" s="46"/>
      <c r="CH271" s="46"/>
      <c r="CI271" s="46"/>
      <c r="CJ271" s="46"/>
      <c r="CK271" s="46"/>
      <c r="CL271" s="46"/>
      <c r="CM271" s="46"/>
      <c r="CN271" s="46"/>
    </row>
    <row r="272">
      <c r="A272" s="46"/>
      <c r="B272" s="46"/>
      <c r="C272" s="46"/>
      <c r="D272" s="46"/>
      <c r="E272" s="46"/>
      <c r="F272" s="46"/>
      <c r="G272" s="46"/>
      <c r="H272" s="46"/>
      <c r="I272" s="46"/>
      <c r="J272" s="46"/>
      <c r="K272" s="46"/>
      <c r="L272" s="51"/>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51"/>
      <c r="BB272" s="46"/>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46"/>
      <c r="BZ272" s="46"/>
      <c r="CA272" s="46"/>
      <c r="CB272" s="46"/>
      <c r="CC272" s="46"/>
      <c r="CD272" s="46"/>
      <c r="CE272" s="46"/>
      <c r="CF272" s="46"/>
      <c r="CG272" s="46"/>
      <c r="CH272" s="46"/>
      <c r="CI272" s="46"/>
      <c r="CJ272" s="46"/>
      <c r="CK272" s="46"/>
      <c r="CL272" s="46"/>
      <c r="CM272" s="46"/>
      <c r="CN272" s="46"/>
    </row>
    <row r="273">
      <c r="A273" s="46"/>
      <c r="B273" s="46"/>
      <c r="C273" s="46"/>
      <c r="D273" s="46"/>
      <c r="E273" s="46"/>
      <c r="F273" s="46"/>
      <c r="G273" s="46"/>
      <c r="H273" s="46"/>
      <c r="I273" s="46"/>
      <c r="J273" s="46"/>
      <c r="K273" s="46"/>
      <c r="L273" s="51"/>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51"/>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6"/>
      <c r="BY273" s="46"/>
      <c r="BZ273" s="46"/>
      <c r="CA273" s="46"/>
      <c r="CB273" s="46"/>
      <c r="CC273" s="46"/>
      <c r="CD273" s="46"/>
      <c r="CE273" s="46"/>
      <c r="CF273" s="46"/>
      <c r="CG273" s="46"/>
      <c r="CH273" s="46"/>
      <c r="CI273" s="46"/>
      <c r="CJ273" s="46"/>
      <c r="CK273" s="46"/>
      <c r="CL273" s="46"/>
      <c r="CM273" s="46"/>
      <c r="CN273" s="46"/>
    </row>
    <row r="274">
      <c r="A274" s="46"/>
      <c r="B274" s="46"/>
      <c r="C274" s="46"/>
      <c r="D274" s="46"/>
      <c r="E274" s="46"/>
      <c r="F274" s="46"/>
      <c r="G274" s="46"/>
      <c r="H274" s="46"/>
      <c r="I274" s="46"/>
      <c r="J274" s="46"/>
      <c r="K274" s="46"/>
      <c r="L274" s="51"/>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51"/>
      <c r="BB274" s="46"/>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46"/>
      <c r="BZ274" s="46"/>
      <c r="CA274" s="46"/>
      <c r="CB274" s="46"/>
      <c r="CC274" s="46"/>
      <c r="CD274" s="46"/>
      <c r="CE274" s="46"/>
      <c r="CF274" s="46"/>
      <c r="CG274" s="46"/>
      <c r="CH274" s="46"/>
      <c r="CI274" s="46"/>
      <c r="CJ274" s="46"/>
      <c r="CK274" s="46"/>
      <c r="CL274" s="46"/>
      <c r="CM274" s="46"/>
      <c r="CN274" s="46"/>
    </row>
    <row r="275">
      <c r="A275" s="46"/>
      <c r="B275" s="46"/>
      <c r="C275" s="46"/>
      <c r="D275" s="46"/>
      <c r="E275" s="46"/>
      <c r="F275" s="46"/>
      <c r="G275" s="46"/>
      <c r="H275" s="46"/>
      <c r="I275" s="46"/>
      <c r="J275" s="46"/>
      <c r="K275" s="46"/>
      <c r="L275" s="51"/>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51"/>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c r="CD275" s="46"/>
      <c r="CE275" s="46"/>
      <c r="CF275" s="46"/>
      <c r="CG275" s="46"/>
      <c r="CH275" s="46"/>
      <c r="CI275" s="46"/>
      <c r="CJ275" s="46"/>
      <c r="CK275" s="46"/>
      <c r="CL275" s="46"/>
      <c r="CM275" s="46"/>
      <c r="CN275" s="46"/>
    </row>
    <row r="276">
      <c r="A276" s="46"/>
      <c r="B276" s="46"/>
      <c r="C276" s="46"/>
      <c r="D276" s="46"/>
      <c r="E276" s="46"/>
      <c r="F276" s="46"/>
      <c r="G276" s="46"/>
      <c r="H276" s="46"/>
      <c r="I276" s="46"/>
      <c r="J276" s="46"/>
      <c r="K276" s="46"/>
      <c r="L276" s="51"/>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51"/>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46"/>
      <c r="BZ276" s="46"/>
      <c r="CA276" s="46"/>
      <c r="CB276" s="46"/>
      <c r="CC276" s="46"/>
      <c r="CD276" s="46"/>
      <c r="CE276" s="46"/>
      <c r="CF276" s="46"/>
      <c r="CG276" s="46"/>
      <c r="CH276" s="46"/>
      <c r="CI276" s="46"/>
      <c r="CJ276" s="46"/>
      <c r="CK276" s="46"/>
      <c r="CL276" s="46"/>
      <c r="CM276" s="46"/>
      <c r="CN276" s="46"/>
    </row>
    <row r="277">
      <c r="A277" s="46"/>
      <c r="B277" s="46"/>
      <c r="C277" s="46"/>
      <c r="D277" s="46"/>
      <c r="E277" s="46"/>
      <c r="F277" s="46"/>
      <c r="G277" s="46"/>
      <c r="H277" s="46"/>
      <c r="I277" s="46"/>
      <c r="J277" s="46"/>
      <c r="K277" s="46"/>
      <c r="L277" s="51"/>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51"/>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6"/>
      <c r="BY277" s="46"/>
      <c r="BZ277" s="46"/>
      <c r="CA277" s="46"/>
      <c r="CB277" s="46"/>
      <c r="CC277" s="46"/>
      <c r="CD277" s="46"/>
      <c r="CE277" s="46"/>
      <c r="CF277" s="46"/>
      <c r="CG277" s="46"/>
      <c r="CH277" s="46"/>
      <c r="CI277" s="46"/>
      <c r="CJ277" s="46"/>
      <c r="CK277" s="46"/>
      <c r="CL277" s="46"/>
      <c r="CM277" s="46"/>
      <c r="CN277" s="46"/>
    </row>
    <row r="278">
      <c r="A278" s="46"/>
      <c r="B278" s="46"/>
      <c r="C278" s="46"/>
      <c r="D278" s="46"/>
      <c r="E278" s="46"/>
      <c r="F278" s="46"/>
      <c r="G278" s="46"/>
      <c r="H278" s="46"/>
      <c r="I278" s="46"/>
      <c r="J278" s="46"/>
      <c r="K278" s="46"/>
      <c r="L278" s="51"/>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51"/>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c r="CD278" s="46"/>
      <c r="CE278" s="46"/>
      <c r="CF278" s="46"/>
      <c r="CG278" s="46"/>
      <c r="CH278" s="46"/>
      <c r="CI278" s="46"/>
      <c r="CJ278" s="46"/>
      <c r="CK278" s="46"/>
      <c r="CL278" s="46"/>
      <c r="CM278" s="46"/>
      <c r="CN278" s="46"/>
    </row>
    <row r="279">
      <c r="A279" s="46"/>
      <c r="B279" s="46"/>
      <c r="C279" s="46"/>
      <c r="D279" s="46"/>
      <c r="E279" s="46"/>
      <c r="F279" s="46"/>
      <c r="G279" s="46"/>
      <c r="H279" s="46"/>
      <c r="I279" s="46"/>
      <c r="J279" s="46"/>
      <c r="K279" s="46"/>
      <c r="L279" s="51"/>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51"/>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c r="CD279" s="46"/>
      <c r="CE279" s="46"/>
      <c r="CF279" s="46"/>
      <c r="CG279" s="46"/>
      <c r="CH279" s="46"/>
      <c r="CI279" s="46"/>
      <c r="CJ279" s="46"/>
      <c r="CK279" s="46"/>
      <c r="CL279" s="46"/>
      <c r="CM279" s="46"/>
      <c r="CN279" s="46"/>
    </row>
    <row r="280">
      <c r="A280" s="46"/>
      <c r="B280" s="46"/>
      <c r="C280" s="46"/>
      <c r="D280" s="46"/>
      <c r="E280" s="46"/>
      <c r="F280" s="46"/>
      <c r="G280" s="46"/>
      <c r="H280" s="46"/>
      <c r="I280" s="46"/>
      <c r="J280" s="46"/>
      <c r="K280" s="46"/>
      <c r="L280" s="51"/>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51"/>
      <c r="BB280" s="46"/>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46"/>
      <c r="BZ280" s="46"/>
      <c r="CA280" s="46"/>
      <c r="CB280" s="46"/>
      <c r="CC280" s="46"/>
      <c r="CD280" s="46"/>
      <c r="CE280" s="46"/>
      <c r="CF280" s="46"/>
      <c r="CG280" s="46"/>
      <c r="CH280" s="46"/>
      <c r="CI280" s="46"/>
      <c r="CJ280" s="46"/>
      <c r="CK280" s="46"/>
      <c r="CL280" s="46"/>
      <c r="CM280" s="46"/>
      <c r="CN280" s="46"/>
    </row>
    <row r="281">
      <c r="A281" s="46"/>
      <c r="B281" s="46"/>
      <c r="C281" s="46"/>
      <c r="D281" s="46"/>
      <c r="E281" s="46"/>
      <c r="F281" s="46"/>
      <c r="G281" s="46"/>
      <c r="H281" s="46"/>
      <c r="I281" s="46"/>
      <c r="J281" s="46"/>
      <c r="K281" s="46"/>
      <c r="L281" s="51"/>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51"/>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c r="CD281" s="46"/>
      <c r="CE281" s="46"/>
      <c r="CF281" s="46"/>
      <c r="CG281" s="46"/>
      <c r="CH281" s="46"/>
      <c r="CI281" s="46"/>
      <c r="CJ281" s="46"/>
      <c r="CK281" s="46"/>
      <c r="CL281" s="46"/>
      <c r="CM281" s="46"/>
      <c r="CN281" s="46"/>
    </row>
    <row r="282">
      <c r="A282" s="46"/>
      <c r="B282" s="46"/>
      <c r="C282" s="46"/>
      <c r="D282" s="46"/>
      <c r="E282" s="46"/>
      <c r="F282" s="46"/>
      <c r="G282" s="46"/>
      <c r="H282" s="46"/>
      <c r="I282" s="46"/>
      <c r="J282" s="46"/>
      <c r="K282" s="46"/>
      <c r="L282" s="51"/>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51"/>
      <c r="BB282" s="46"/>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46"/>
      <c r="BZ282" s="46"/>
      <c r="CA282" s="46"/>
      <c r="CB282" s="46"/>
      <c r="CC282" s="46"/>
      <c r="CD282" s="46"/>
      <c r="CE282" s="46"/>
      <c r="CF282" s="46"/>
      <c r="CG282" s="46"/>
      <c r="CH282" s="46"/>
      <c r="CI282" s="46"/>
      <c r="CJ282" s="46"/>
      <c r="CK282" s="46"/>
      <c r="CL282" s="46"/>
      <c r="CM282" s="46"/>
      <c r="CN282" s="46"/>
    </row>
    <row r="283">
      <c r="A283" s="46"/>
      <c r="B283" s="46"/>
      <c r="C283" s="46"/>
      <c r="D283" s="46"/>
      <c r="E283" s="46"/>
      <c r="F283" s="46"/>
      <c r="G283" s="46"/>
      <c r="H283" s="46"/>
      <c r="I283" s="46"/>
      <c r="J283" s="46"/>
      <c r="K283" s="46"/>
      <c r="L283" s="51"/>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51"/>
      <c r="BB283" s="46"/>
      <c r="BC283" s="46"/>
      <c r="BD283" s="46"/>
      <c r="BE283" s="46"/>
      <c r="BF283" s="46"/>
      <c r="BG283" s="46"/>
      <c r="BH283" s="46"/>
      <c r="BI283" s="46"/>
      <c r="BJ283" s="46"/>
      <c r="BK283" s="46"/>
      <c r="BL283" s="46"/>
      <c r="BM283" s="46"/>
      <c r="BN283" s="46"/>
      <c r="BO283" s="46"/>
      <c r="BP283" s="46"/>
      <c r="BQ283" s="46"/>
      <c r="BR283" s="46"/>
      <c r="BS283" s="46"/>
      <c r="BT283" s="46"/>
      <c r="BU283" s="46"/>
      <c r="BV283" s="46"/>
      <c r="BW283" s="46"/>
      <c r="BX283" s="46"/>
      <c r="BY283" s="46"/>
      <c r="BZ283" s="46"/>
      <c r="CA283" s="46"/>
      <c r="CB283" s="46"/>
      <c r="CC283" s="46"/>
      <c r="CD283" s="46"/>
      <c r="CE283" s="46"/>
      <c r="CF283" s="46"/>
      <c r="CG283" s="46"/>
      <c r="CH283" s="46"/>
      <c r="CI283" s="46"/>
      <c r="CJ283" s="46"/>
      <c r="CK283" s="46"/>
      <c r="CL283" s="46"/>
      <c r="CM283" s="46"/>
      <c r="CN283" s="46"/>
    </row>
    <row r="284">
      <c r="A284" s="46"/>
      <c r="B284" s="46"/>
      <c r="C284" s="46"/>
      <c r="D284" s="46"/>
      <c r="E284" s="46"/>
      <c r="F284" s="46"/>
      <c r="G284" s="46"/>
      <c r="H284" s="46"/>
      <c r="I284" s="46"/>
      <c r="J284" s="46"/>
      <c r="K284" s="46"/>
      <c r="L284" s="51"/>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51"/>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row>
    <row r="285">
      <c r="A285" s="46"/>
      <c r="B285" s="46"/>
      <c r="C285" s="46"/>
      <c r="D285" s="46"/>
      <c r="E285" s="46"/>
      <c r="F285" s="46"/>
      <c r="G285" s="46"/>
      <c r="H285" s="46"/>
      <c r="I285" s="46"/>
      <c r="J285" s="46"/>
      <c r="K285" s="46"/>
      <c r="L285" s="51"/>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51"/>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c r="CD285" s="46"/>
      <c r="CE285" s="46"/>
      <c r="CF285" s="46"/>
      <c r="CG285" s="46"/>
      <c r="CH285" s="46"/>
      <c r="CI285" s="46"/>
      <c r="CJ285" s="46"/>
      <c r="CK285" s="46"/>
      <c r="CL285" s="46"/>
      <c r="CM285" s="46"/>
      <c r="CN285" s="46"/>
    </row>
    <row r="286">
      <c r="A286" s="46"/>
      <c r="B286" s="46"/>
      <c r="C286" s="46"/>
      <c r="D286" s="46"/>
      <c r="E286" s="46"/>
      <c r="F286" s="46"/>
      <c r="G286" s="46"/>
      <c r="H286" s="46"/>
      <c r="I286" s="46"/>
      <c r="J286" s="46"/>
      <c r="K286" s="46"/>
      <c r="L286" s="51"/>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51"/>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row>
    <row r="287">
      <c r="A287" s="46"/>
      <c r="B287" s="46"/>
      <c r="C287" s="46"/>
      <c r="D287" s="46"/>
      <c r="E287" s="46"/>
      <c r="F287" s="46"/>
      <c r="G287" s="46"/>
      <c r="H287" s="46"/>
      <c r="I287" s="46"/>
      <c r="J287" s="46"/>
      <c r="K287" s="46"/>
      <c r="L287" s="51"/>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51"/>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c r="CD287" s="46"/>
      <c r="CE287" s="46"/>
      <c r="CF287" s="46"/>
      <c r="CG287" s="46"/>
      <c r="CH287" s="46"/>
      <c r="CI287" s="46"/>
      <c r="CJ287" s="46"/>
      <c r="CK287" s="46"/>
      <c r="CL287" s="46"/>
      <c r="CM287" s="46"/>
      <c r="CN287" s="46"/>
    </row>
    <row r="288">
      <c r="A288" s="46"/>
      <c r="B288" s="46"/>
      <c r="C288" s="46"/>
      <c r="D288" s="46"/>
      <c r="E288" s="46"/>
      <c r="F288" s="46"/>
      <c r="G288" s="46"/>
      <c r="H288" s="46"/>
      <c r="I288" s="46"/>
      <c r="J288" s="46"/>
      <c r="K288" s="46"/>
      <c r="L288" s="51"/>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51"/>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row>
    <row r="289">
      <c r="A289" s="46"/>
      <c r="B289" s="46"/>
      <c r="C289" s="46"/>
      <c r="D289" s="46"/>
      <c r="E289" s="46"/>
      <c r="F289" s="46"/>
      <c r="G289" s="46"/>
      <c r="H289" s="46"/>
      <c r="I289" s="46"/>
      <c r="J289" s="46"/>
      <c r="K289" s="46"/>
      <c r="L289" s="51"/>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51"/>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c r="CD289" s="46"/>
      <c r="CE289" s="46"/>
      <c r="CF289" s="46"/>
      <c r="CG289" s="46"/>
      <c r="CH289" s="46"/>
      <c r="CI289" s="46"/>
      <c r="CJ289" s="46"/>
      <c r="CK289" s="46"/>
      <c r="CL289" s="46"/>
      <c r="CM289" s="46"/>
      <c r="CN289" s="46"/>
    </row>
    <row r="290">
      <c r="A290" s="46"/>
      <c r="B290" s="46"/>
      <c r="C290" s="46"/>
      <c r="D290" s="46"/>
      <c r="E290" s="46"/>
      <c r="F290" s="46"/>
      <c r="G290" s="46"/>
      <c r="H290" s="46"/>
      <c r="I290" s="46"/>
      <c r="J290" s="46"/>
      <c r="K290" s="46"/>
      <c r="L290" s="51"/>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51"/>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row>
    <row r="291">
      <c r="A291" s="46"/>
      <c r="B291" s="46"/>
      <c r="C291" s="46"/>
      <c r="D291" s="46"/>
      <c r="E291" s="46"/>
      <c r="F291" s="46"/>
      <c r="G291" s="46"/>
      <c r="H291" s="46"/>
      <c r="I291" s="46"/>
      <c r="J291" s="46"/>
      <c r="K291" s="46"/>
      <c r="L291" s="51"/>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51"/>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c r="CD291" s="46"/>
      <c r="CE291" s="46"/>
      <c r="CF291" s="46"/>
      <c r="CG291" s="46"/>
      <c r="CH291" s="46"/>
      <c r="CI291" s="46"/>
      <c r="CJ291" s="46"/>
      <c r="CK291" s="46"/>
      <c r="CL291" s="46"/>
      <c r="CM291" s="46"/>
      <c r="CN291" s="46"/>
    </row>
    <row r="292">
      <c r="A292" s="46"/>
      <c r="B292" s="46"/>
      <c r="C292" s="46"/>
      <c r="D292" s="46"/>
      <c r="E292" s="46"/>
      <c r="F292" s="46"/>
      <c r="G292" s="46"/>
      <c r="H292" s="46"/>
      <c r="I292" s="46"/>
      <c r="J292" s="46"/>
      <c r="K292" s="46"/>
      <c r="L292" s="51"/>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51"/>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row>
    <row r="293">
      <c r="A293" s="46"/>
      <c r="B293" s="46"/>
      <c r="C293" s="46"/>
      <c r="D293" s="46"/>
      <c r="E293" s="46"/>
      <c r="F293" s="46"/>
      <c r="G293" s="46"/>
      <c r="H293" s="46"/>
      <c r="I293" s="46"/>
      <c r="J293" s="46"/>
      <c r="K293" s="46"/>
      <c r="L293" s="51"/>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51"/>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c r="CD293" s="46"/>
      <c r="CE293" s="46"/>
      <c r="CF293" s="46"/>
      <c r="CG293" s="46"/>
      <c r="CH293" s="46"/>
      <c r="CI293" s="46"/>
      <c r="CJ293" s="46"/>
      <c r="CK293" s="46"/>
      <c r="CL293" s="46"/>
      <c r="CM293" s="46"/>
      <c r="CN293" s="46"/>
    </row>
    <row r="294">
      <c r="A294" s="46"/>
      <c r="B294" s="46"/>
      <c r="C294" s="46"/>
      <c r="D294" s="46"/>
      <c r="E294" s="46"/>
      <c r="F294" s="46"/>
      <c r="G294" s="46"/>
      <c r="H294" s="46"/>
      <c r="I294" s="46"/>
      <c r="J294" s="46"/>
      <c r="K294" s="46"/>
      <c r="L294" s="51"/>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51"/>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row>
    <row r="295">
      <c r="A295" s="46"/>
      <c r="B295" s="46"/>
      <c r="C295" s="46"/>
      <c r="D295" s="46"/>
      <c r="E295" s="46"/>
      <c r="F295" s="46"/>
      <c r="G295" s="46"/>
      <c r="H295" s="46"/>
      <c r="I295" s="46"/>
      <c r="J295" s="46"/>
      <c r="K295" s="46"/>
      <c r="L295" s="51"/>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51"/>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c r="CD295" s="46"/>
      <c r="CE295" s="46"/>
      <c r="CF295" s="46"/>
      <c r="CG295" s="46"/>
      <c r="CH295" s="46"/>
      <c r="CI295" s="46"/>
      <c r="CJ295" s="46"/>
      <c r="CK295" s="46"/>
      <c r="CL295" s="46"/>
      <c r="CM295" s="46"/>
      <c r="CN295" s="46"/>
    </row>
    <row r="296">
      <c r="A296" s="46"/>
      <c r="B296" s="46"/>
      <c r="C296" s="46"/>
      <c r="D296" s="46"/>
      <c r="E296" s="46"/>
      <c r="F296" s="46"/>
      <c r="G296" s="46"/>
      <c r="H296" s="46"/>
      <c r="I296" s="46"/>
      <c r="J296" s="46"/>
      <c r="K296" s="46"/>
      <c r="L296" s="51"/>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51"/>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row>
    <row r="297">
      <c r="A297" s="46"/>
      <c r="B297" s="46"/>
      <c r="C297" s="46"/>
      <c r="D297" s="46"/>
      <c r="E297" s="46"/>
      <c r="F297" s="46"/>
      <c r="G297" s="46"/>
      <c r="H297" s="46"/>
      <c r="I297" s="46"/>
      <c r="J297" s="46"/>
      <c r="K297" s="46"/>
      <c r="L297" s="51"/>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51"/>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6"/>
      <c r="BY297" s="46"/>
      <c r="BZ297" s="46"/>
      <c r="CA297" s="46"/>
      <c r="CB297" s="46"/>
      <c r="CC297" s="46"/>
      <c r="CD297" s="46"/>
      <c r="CE297" s="46"/>
      <c r="CF297" s="46"/>
      <c r="CG297" s="46"/>
      <c r="CH297" s="46"/>
      <c r="CI297" s="46"/>
      <c r="CJ297" s="46"/>
      <c r="CK297" s="46"/>
      <c r="CL297" s="46"/>
      <c r="CM297" s="46"/>
      <c r="CN297" s="46"/>
    </row>
    <row r="298">
      <c r="A298" s="46"/>
      <c r="B298" s="46"/>
      <c r="C298" s="46"/>
      <c r="D298" s="46"/>
      <c r="E298" s="46"/>
      <c r="F298" s="46"/>
      <c r="G298" s="46"/>
      <c r="H298" s="46"/>
      <c r="I298" s="46"/>
      <c r="J298" s="46"/>
      <c r="K298" s="46"/>
      <c r="L298" s="51"/>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51"/>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46"/>
      <c r="BZ298" s="46"/>
      <c r="CA298" s="46"/>
      <c r="CB298" s="46"/>
      <c r="CC298" s="46"/>
      <c r="CD298" s="46"/>
      <c r="CE298" s="46"/>
      <c r="CF298" s="46"/>
      <c r="CG298" s="46"/>
      <c r="CH298" s="46"/>
      <c r="CI298" s="46"/>
      <c r="CJ298" s="46"/>
      <c r="CK298" s="46"/>
      <c r="CL298" s="46"/>
      <c r="CM298" s="46"/>
      <c r="CN298" s="46"/>
    </row>
    <row r="299">
      <c r="A299" s="46"/>
      <c r="B299" s="46"/>
      <c r="C299" s="46"/>
      <c r="D299" s="46"/>
      <c r="E299" s="46"/>
      <c r="F299" s="46"/>
      <c r="G299" s="46"/>
      <c r="H299" s="46"/>
      <c r="I299" s="46"/>
      <c r="J299" s="46"/>
      <c r="K299" s="46"/>
      <c r="L299" s="51"/>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51"/>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c r="CD299" s="46"/>
      <c r="CE299" s="46"/>
      <c r="CF299" s="46"/>
      <c r="CG299" s="46"/>
      <c r="CH299" s="46"/>
      <c r="CI299" s="46"/>
      <c r="CJ299" s="46"/>
      <c r="CK299" s="46"/>
      <c r="CL299" s="46"/>
      <c r="CM299" s="46"/>
      <c r="CN299" s="46"/>
    </row>
    <row r="300">
      <c r="A300" s="46"/>
      <c r="B300" s="46"/>
      <c r="C300" s="46"/>
      <c r="D300" s="46"/>
      <c r="E300" s="46"/>
      <c r="F300" s="46"/>
      <c r="G300" s="46"/>
      <c r="H300" s="46"/>
      <c r="I300" s="46"/>
      <c r="J300" s="46"/>
      <c r="K300" s="46"/>
      <c r="L300" s="51"/>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51"/>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c r="CD300" s="46"/>
      <c r="CE300" s="46"/>
      <c r="CF300" s="46"/>
      <c r="CG300" s="46"/>
      <c r="CH300" s="46"/>
      <c r="CI300" s="46"/>
      <c r="CJ300" s="46"/>
      <c r="CK300" s="46"/>
      <c r="CL300" s="46"/>
      <c r="CM300" s="46"/>
      <c r="CN300" s="46"/>
    </row>
    <row r="301">
      <c r="A301" s="46"/>
      <c r="B301" s="46"/>
      <c r="C301" s="46"/>
      <c r="D301" s="46"/>
      <c r="E301" s="46"/>
      <c r="F301" s="46"/>
      <c r="G301" s="46"/>
      <c r="H301" s="46"/>
      <c r="I301" s="46"/>
      <c r="J301" s="46"/>
      <c r="K301" s="46"/>
      <c r="L301" s="51"/>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51"/>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c r="CD301" s="46"/>
      <c r="CE301" s="46"/>
      <c r="CF301" s="46"/>
      <c r="CG301" s="46"/>
      <c r="CH301" s="46"/>
      <c r="CI301" s="46"/>
      <c r="CJ301" s="46"/>
      <c r="CK301" s="46"/>
      <c r="CL301" s="46"/>
      <c r="CM301" s="46"/>
      <c r="CN301" s="46"/>
    </row>
    <row r="302">
      <c r="A302" s="46"/>
      <c r="B302" s="46"/>
      <c r="C302" s="46"/>
      <c r="D302" s="46"/>
      <c r="E302" s="46"/>
      <c r="F302" s="46"/>
      <c r="G302" s="46"/>
      <c r="H302" s="46"/>
      <c r="I302" s="46"/>
      <c r="J302" s="46"/>
      <c r="K302" s="46"/>
      <c r="L302" s="51"/>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51"/>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46"/>
      <c r="BZ302" s="46"/>
      <c r="CA302" s="46"/>
      <c r="CB302" s="46"/>
      <c r="CC302" s="46"/>
      <c r="CD302" s="46"/>
      <c r="CE302" s="46"/>
      <c r="CF302" s="46"/>
      <c r="CG302" s="46"/>
      <c r="CH302" s="46"/>
      <c r="CI302" s="46"/>
      <c r="CJ302" s="46"/>
      <c r="CK302" s="46"/>
      <c r="CL302" s="46"/>
      <c r="CM302" s="46"/>
      <c r="CN302" s="46"/>
    </row>
    <row r="303">
      <c r="A303" s="46"/>
      <c r="B303" s="46"/>
      <c r="C303" s="46"/>
      <c r="D303" s="46"/>
      <c r="E303" s="46"/>
      <c r="F303" s="46"/>
      <c r="G303" s="46"/>
      <c r="H303" s="46"/>
      <c r="I303" s="46"/>
      <c r="J303" s="46"/>
      <c r="K303" s="46"/>
      <c r="L303" s="51"/>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51"/>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c r="CD303" s="46"/>
      <c r="CE303" s="46"/>
      <c r="CF303" s="46"/>
      <c r="CG303" s="46"/>
      <c r="CH303" s="46"/>
      <c r="CI303" s="46"/>
      <c r="CJ303" s="46"/>
      <c r="CK303" s="46"/>
      <c r="CL303" s="46"/>
      <c r="CM303" s="46"/>
      <c r="CN303" s="46"/>
    </row>
    <row r="304">
      <c r="A304" s="46"/>
      <c r="B304" s="46"/>
      <c r="C304" s="46"/>
      <c r="D304" s="46"/>
      <c r="E304" s="46"/>
      <c r="F304" s="46"/>
      <c r="G304" s="46"/>
      <c r="H304" s="46"/>
      <c r="I304" s="46"/>
      <c r="J304" s="46"/>
      <c r="K304" s="46"/>
      <c r="L304" s="51"/>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51"/>
      <c r="BB304" s="46"/>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46"/>
      <c r="BZ304" s="46"/>
      <c r="CA304" s="46"/>
      <c r="CB304" s="46"/>
      <c r="CC304" s="46"/>
      <c r="CD304" s="46"/>
      <c r="CE304" s="46"/>
      <c r="CF304" s="46"/>
      <c r="CG304" s="46"/>
      <c r="CH304" s="46"/>
      <c r="CI304" s="46"/>
      <c r="CJ304" s="46"/>
      <c r="CK304" s="46"/>
      <c r="CL304" s="46"/>
      <c r="CM304" s="46"/>
      <c r="CN304" s="46"/>
    </row>
    <row r="305">
      <c r="A305" s="46"/>
      <c r="B305" s="46"/>
      <c r="C305" s="46"/>
      <c r="D305" s="46"/>
      <c r="E305" s="46"/>
      <c r="F305" s="46"/>
      <c r="G305" s="46"/>
      <c r="H305" s="46"/>
      <c r="I305" s="46"/>
      <c r="J305" s="46"/>
      <c r="K305" s="46"/>
      <c r="L305" s="51"/>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51"/>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c r="CD305" s="46"/>
      <c r="CE305" s="46"/>
      <c r="CF305" s="46"/>
      <c r="CG305" s="46"/>
      <c r="CH305" s="46"/>
      <c r="CI305" s="46"/>
      <c r="CJ305" s="46"/>
      <c r="CK305" s="46"/>
      <c r="CL305" s="46"/>
      <c r="CM305" s="46"/>
      <c r="CN305" s="46"/>
    </row>
    <row r="306">
      <c r="A306" s="46"/>
      <c r="B306" s="46"/>
      <c r="C306" s="46"/>
      <c r="D306" s="46"/>
      <c r="E306" s="46"/>
      <c r="F306" s="46"/>
      <c r="G306" s="46"/>
      <c r="H306" s="46"/>
      <c r="I306" s="46"/>
      <c r="J306" s="46"/>
      <c r="K306" s="46"/>
      <c r="L306" s="51"/>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51"/>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row>
    <row r="307">
      <c r="A307" s="46"/>
      <c r="B307" s="46"/>
      <c r="C307" s="46"/>
      <c r="D307" s="46"/>
      <c r="E307" s="46"/>
      <c r="F307" s="46"/>
      <c r="G307" s="46"/>
      <c r="H307" s="46"/>
      <c r="I307" s="46"/>
      <c r="J307" s="46"/>
      <c r="K307" s="46"/>
      <c r="L307" s="51"/>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51"/>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6"/>
      <c r="BY307" s="46"/>
      <c r="BZ307" s="46"/>
      <c r="CA307" s="46"/>
      <c r="CB307" s="46"/>
      <c r="CC307" s="46"/>
      <c r="CD307" s="46"/>
      <c r="CE307" s="46"/>
      <c r="CF307" s="46"/>
      <c r="CG307" s="46"/>
      <c r="CH307" s="46"/>
      <c r="CI307" s="46"/>
      <c r="CJ307" s="46"/>
      <c r="CK307" s="46"/>
      <c r="CL307" s="46"/>
      <c r="CM307" s="46"/>
      <c r="CN307" s="46"/>
    </row>
    <row r="308">
      <c r="A308" s="46"/>
      <c r="B308" s="46"/>
      <c r="C308" s="46"/>
      <c r="D308" s="46"/>
      <c r="E308" s="46"/>
      <c r="F308" s="46"/>
      <c r="G308" s="46"/>
      <c r="H308" s="46"/>
      <c r="I308" s="46"/>
      <c r="J308" s="46"/>
      <c r="K308" s="46"/>
      <c r="L308" s="51"/>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51"/>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row>
    <row r="309">
      <c r="A309" s="46"/>
      <c r="B309" s="46"/>
      <c r="C309" s="46"/>
      <c r="D309" s="46"/>
      <c r="E309" s="46"/>
      <c r="F309" s="46"/>
      <c r="G309" s="46"/>
      <c r="H309" s="46"/>
      <c r="I309" s="46"/>
      <c r="J309" s="46"/>
      <c r="K309" s="46"/>
      <c r="L309" s="51"/>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51"/>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c r="CD309" s="46"/>
      <c r="CE309" s="46"/>
      <c r="CF309" s="46"/>
      <c r="CG309" s="46"/>
      <c r="CH309" s="46"/>
      <c r="CI309" s="46"/>
      <c r="CJ309" s="46"/>
      <c r="CK309" s="46"/>
      <c r="CL309" s="46"/>
      <c r="CM309" s="46"/>
      <c r="CN309" s="46"/>
    </row>
    <row r="310">
      <c r="A310" s="46"/>
      <c r="B310" s="46"/>
      <c r="C310" s="46"/>
      <c r="D310" s="46"/>
      <c r="E310" s="46"/>
      <c r="F310" s="46"/>
      <c r="G310" s="46"/>
      <c r="H310" s="46"/>
      <c r="I310" s="46"/>
      <c r="J310" s="46"/>
      <c r="K310" s="46"/>
      <c r="L310" s="51"/>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51"/>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row>
    <row r="311">
      <c r="A311" s="46"/>
      <c r="B311" s="46"/>
      <c r="C311" s="46"/>
      <c r="D311" s="46"/>
      <c r="E311" s="46"/>
      <c r="F311" s="46"/>
      <c r="G311" s="46"/>
      <c r="H311" s="46"/>
      <c r="I311" s="46"/>
      <c r="J311" s="46"/>
      <c r="K311" s="46"/>
      <c r="L311" s="51"/>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51"/>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c r="CD311" s="46"/>
      <c r="CE311" s="46"/>
      <c r="CF311" s="46"/>
      <c r="CG311" s="46"/>
      <c r="CH311" s="46"/>
      <c r="CI311" s="46"/>
      <c r="CJ311" s="46"/>
      <c r="CK311" s="46"/>
      <c r="CL311" s="46"/>
      <c r="CM311" s="46"/>
      <c r="CN311" s="46"/>
    </row>
    <row r="312">
      <c r="A312" s="46"/>
      <c r="B312" s="46"/>
      <c r="C312" s="46"/>
      <c r="D312" s="46"/>
      <c r="E312" s="46"/>
      <c r="F312" s="46"/>
      <c r="G312" s="46"/>
      <c r="H312" s="46"/>
      <c r="I312" s="46"/>
      <c r="J312" s="46"/>
      <c r="K312" s="46"/>
      <c r="L312" s="51"/>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51"/>
      <c r="BB312" s="46"/>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46"/>
      <c r="BZ312" s="46"/>
      <c r="CA312" s="46"/>
      <c r="CB312" s="46"/>
      <c r="CC312" s="46"/>
      <c r="CD312" s="46"/>
      <c r="CE312" s="46"/>
      <c r="CF312" s="46"/>
      <c r="CG312" s="46"/>
      <c r="CH312" s="46"/>
      <c r="CI312" s="46"/>
      <c r="CJ312" s="46"/>
      <c r="CK312" s="46"/>
      <c r="CL312" s="46"/>
      <c r="CM312" s="46"/>
      <c r="CN312" s="46"/>
    </row>
    <row r="313">
      <c r="A313" s="46"/>
      <c r="B313" s="46"/>
      <c r="C313" s="46"/>
      <c r="D313" s="46"/>
      <c r="E313" s="46"/>
      <c r="F313" s="46"/>
      <c r="G313" s="46"/>
      <c r="H313" s="46"/>
      <c r="I313" s="46"/>
      <c r="J313" s="46"/>
      <c r="K313" s="46"/>
      <c r="L313" s="51"/>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51"/>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6"/>
      <c r="BY313" s="46"/>
      <c r="BZ313" s="46"/>
      <c r="CA313" s="46"/>
      <c r="CB313" s="46"/>
      <c r="CC313" s="46"/>
      <c r="CD313" s="46"/>
      <c r="CE313" s="46"/>
      <c r="CF313" s="46"/>
      <c r="CG313" s="46"/>
      <c r="CH313" s="46"/>
      <c r="CI313" s="46"/>
      <c r="CJ313" s="46"/>
      <c r="CK313" s="46"/>
      <c r="CL313" s="46"/>
      <c r="CM313" s="46"/>
      <c r="CN313" s="46"/>
    </row>
    <row r="314">
      <c r="A314" s="46"/>
      <c r="B314" s="46"/>
      <c r="C314" s="46"/>
      <c r="D314" s="46"/>
      <c r="E314" s="46"/>
      <c r="F314" s="46"/>
      <c r="G314" s="46"/>
      <c r="H314" s="46"/>
      <c r="I314" s="46"/>
      <c r="J314" s="46"/>
      <c r="K314" s="46"/>
      <c r="L314" s="51"/>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51"/>
      <c r="BB314" s="46"/>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46"/>
      <c r="BZ314" s="46"/>
      <c r="CA314" s="46"/>
      <c r="CB314" s="46"/>
      <c r="CC314" s="46"/>
      <c r="CD314" s="46"/>
      <c r="CE314" s="46"/>
      <c r="CF314" s="46"/>
      <c r="CG314" s="46"/>
      <c r="CH314" s="46"/>
      <c r="CI314" s="46"/>
      <c r="CJ314" s="46"/>
      <c r="CK314" s="46"/>
      <c r="CL314" s="46"/>
      <c r="CM314" s="46"/>
      <c r="CN314" s="46"/>
    </row>
    <row r="315">
      <c r="A315" s="46"/>
      <c r="B315" s="46"/>
      <c r="C315" s="46"/>
      <c r="D315" s="46"/>
      <c r="E315" s="46"/>
      <c r="F315" s="46"/>
      <c r="G315" s="46"/>
      <c r="H315" s="46"/>
      <c r="I315" s="46"/>
      <c r="J315" s="46"/>
      <c r="K315" s="46"/>
      <c r="L315" s="51"/>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51"/>
      <c r="BB315" s="46"/>
      <c r="BC315" s="46"/>
      <c r="BD315" s="46"/>
      <c r="BE315" s="46"/>
      <c r="BF315" s="46"/>
      <c r="BG315" s="46"/>
      <c r="BH315" s="46"/>
      <c r="BI315" s="46"/>
      <c r="BJ315" s="46"/>
      <c r="BK315" s="46"/>
      <c r="BL315" s="46"/>
      <c r="BM315" s="46"/>
      <c r="BN315" s="46"/>
      <c r="BO315" s="46"/>
      <c r="BP315" s="46"/>
      <c r="BQ315" s="46"/>
      <c r="BR315" s="46"/>
      <c r="BS315" s="46"/>
      <c r="BT315" s="46"/>
      <c r="BU315" s="46"/>
      <c r="BV315" s="46"/>
      <c r="BW315" s="46"/>
      <c r="BX315" s="46"/>
      <c r="BY315" s="46"/>
      <c r="BZ315" s="46"/>
      <c r="CA315" s="46"/>
      <c r="CB315" s="46"/>
      <c r="CC315" s="46"/>
      <c r="CD315" s="46"/>
      <c r="CE315" s="46"/>
      <c r="CF315" s="46"/>
      <c r="CG315" s="46"/>
      <c r="CH315" s="46"/>
      <c r="CI315" s="46"/>
      <c r="CJ315" s="46"/>
      <c r="CK315" s="46"/>
      <c r="CL315" s="46"/>
      <c r="CM315" s="46"/>
      <c r="CN315" s="46"/>
    </row>
    <row r="316">
      <c r="A316" s="46"/>
      <c r="B316" s="46"/>
      <c r="C316" s="46"/>
      <c r="D316" s="46"/>
      <c r="E316" s="46"/>
      <c r="F316" s="46"/>
      <c r="G316" s="46"/>
      <c r="H316" s="46"/>
      <c r="I316" s="46"/>
      <c r="J316" s="46"/>
      <c r="K316" s="46"/>
      <c r="L316" s="51"/>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51"/>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row>
    <row r="317">
      <c r="A317" s="46"/>
      <c r="B317" s="46"/>
      <c r="C317" s="46"/>
      <c r="D317" s="46"/>
      <c r="E317" s="46"/>
      <c r="F317" s="46"/>
      <c r="G317" s="46"/>
      <c r="H317" s="46"/>
      <c r="I317" s="46"/>
      <c r="J317" s="46"/>
      <c r="K317" s="46"/>
      <c r="L317" s="51"/>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51"/>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c r="CD317" s="46"/>
      <c r="CE317" s="46"/>
      <c r="CF317" s="46"/>
      <c r="CG317" s="46"/>
      <c r="CH317" s="46"/>
      <c r="CI317" s="46"/>
      <c r="CJ317" s="46"/>
      <c r="CK317" s="46"/>
      <c r="CL317" s="46"/>
      <c r="CM317" s="46"/>
      <c r="CN317" s="46"/>
    </row>
    <row r="318">
      <c r="A318" s="46"/>
      <c r="B318" s="46"/>
      <c r="C318" s="46"/>
      <c r="D318" s="46"/>
      <c r="E318" s="46"/>
      <c r="F318" s="46"/>
      <c r="G318" s="46"/>
      <c r="H318" s="46"/>
      <c r="I318" s="46"/>
      <c r="J318" s="46"/>
      <c r="K318" s="46"/>
      <c r="L318" s="51"/>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51"/>
      <c r="BB318" s="46"/>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46"/>
      <c r="BZ318" s="46"/>
      <c r="CA318" s="46"/>
      <c r="CB318" s="46"/>
      <c r="CC318" s="46"/>
      <c r="CD318" s="46"/>
      <c r="CE318" s="46"/>
      <c r="CF318" s="46"/>
      <c r="CG318" s="46"/>
      <c r="CH318" s="46"/>
      <c r="CI318" s="46"/>
      <c r="CJ318" s="46"/>
      <c r="CK318" s="46"/>
      <c r="CL318" s="46"/>
      <c r="CM318" s="46"/>
      <c r="CN318" s="46"/>
    </row>
    <row r="319">
      <c r="A319" s="46"/>
      <c r="B319" s="46"/>
      <c r="C319" s="46"/>
      <c r="D319" s="46"/>
      <c r="E319" s="46"/>
      <c r="F319" s="46"/>
      <c r="G319" s="46"/>
      <c r="H319" s="46"/>
      <c r="I319" s="46"/>
      <c r="J319" s="46"/>
      <c r="K319" s="46"/>
      <c r="L319" s="51"/>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51"/>
      <c r="BB319" s="46"/>
      <c r="BC319" s="46"/>
      <c r="BD319" s="46"/>
      <c r="BE319" s="46"/>
      <c r="BF319" s="46"/>
      <c r="BG319" s="46"/>
      <c r="BH319" s="46"/>
      <c r="BI319" s="46"/>
      <c r="BJ319" s="46"/>
      <c r="BK319" s="46"/>
      <c r="BL319" s="46"/>
      <c r="BM319" s="46"/>
      <c r="BN319" s="46"/>
      <c r="BO319" s="46"/>
      <c r="BP319" s="46"/>
      <c r="BQ319" s="46"/>
      <c r="BR319" s="46"/>
      <c r="BS319" s="46"/>
      <c r="BT319" s="46"/>
      <c r="BU319" s="46"/>
      <c r="BV319" s="46"/>
      <c r="BW319" s="46"/>
      <c r="BX319" s="46"/>
      <c r="BY319" s="46"/>
      <c r="BZ319" s="46"/>
      <c r="CA319" s="46"/>
      <c r="CB319" s="46"/>
      <c r="CC319" s="46"/>
      <c r="CD319" s="46"/>
      <c r="CE319" s="46"/>
      <c r="CF319" s="46"/>
      <c r="CG319" s="46"/>
      <c r="CH319" s="46"/>
      <c r="CI319" s="46"/>
      <c r="CJ319" s="46"/>
      <c r="CK319" s="46"/>
      <c r="CL319" s="46"/>
      <c r="CM319" s="46"/>
      <c r="CN319" s="46"/>
    </row>
    <row r="320">
      <c r="A320" s="46"/>
      <c r="B320" s="46"/>
      <c r="C320" s="46"/>
      <c r="D320" s="46"/>
      <c r="E320" s="46"/>
      <c r="F320" s="46"/>
      <c r="G320" s="46"/>
      <c r="H320" s="46"/>
      <c r="I320" s="46"/>
      <c r="J320" s="46"/>
      <c r="K320" s="46"/>
      <c r="L320" s="51"/>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51"/>
      <c r="BB320" s="46"/>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46"/>
      <c r="BZ320" s="46"/>
      <c r="CA320" s="46"/>
      <c r="CB320" s="46"/>
      <c r="CC320" s="46"/>
      <c r="CD320" s="46"/>
      <c r="CE320" s="46"/>
      <c r="CF320" s="46"/>
      <c r="CG320" s="46"/>
      <c r="CH320" s="46"/>
      <c r="CI320" s="46"/>
      <c r="CJ320" s="46"/>
      <c r="CK320" s="46"/>
      <c r="CL320" s="46"/>
      <c r="CM320" s="46"/>
      <c r="CN320" s="46"/>
    </row>
    <row r="321">
      <c r="A321" s="46"/>
      <c r="B321" s="46"/>
      <c r="C321" s="46"/>
      <c r="D321" s="46"/>
      <c r="E321" s="46"/>
      <c r="F321" s="46"/>
      <c r="G321" s="46"/>
      <c r="H321" s="46"/>
      <c r="I321" s="46"/>
      <c r="J321" s="46"/>
      <c r="K321" s="46"/>
      <c r="L321" s="51"/>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51"/>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6"/>
      <c r="BY321" s="46"/>
      <c r="BZ321" s="46"/>
      <c r="CA321" s="46"/>
      <c r="CB321" s="46"/>
      <c r="CC321" s="46"/>
      <c r="CD321" s="46"/>
      <c r="CE321" s="46"/>
      <c r="CF321" s="46"/>
      <c r="CG321" s="46"/>
      <c r="CH321" s="46"/>
      <c r="CI321" s="46"/>
      <c r="CJ321" s="46"/>
      <c r="CK321" s="46"/>
      <c r="CL321" s="46"/>
      <c r="CM321" s="46"/>
      <c r="CN321" s="46"/>
    </row>
    <row r="322">
      <c r="A322" s="46"/>
      <c r="B322" s="46"/>
      <c r="C322" s="46"/>
      <c r="D322" s="46"/>
      <c r="E322" s="46"/>
      <c r="F322" s="46"/>
      <c r="G322" s="46"/>
      <c r="H322" s="46"/>
      <c r="I322" s="46"/>
      <c r="J322" s="46"/>
      <c r="K322" s="46"/>
      <c r="L322" s="51"/>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51"/>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row>
    <row r="323">
      <c r="A323" s="46"/>
      <c r="B323" s="46"/>
      <c r="C323" s="46"/>
      <c r="D323" s="46"/>
      <c r="E323" s="46"/>
      <c r="F323" s="46"/>
      <c r="G323" s="46"/>
      <c r="H323" s="46"/>
      <c r="I323" s="46"/>
      <c r="J323" s="46"/>
      <c r="K323" s="46"/>
      <c r="L323" s="51"/>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51"/>
      <c r="BB323" s="46"/>
      <c r="BC323" s="46"/>
      <c r="BD323" s="46"/>
      <c r="BE323" s="46"/>
      <c r="BF323" s="46"/>
      <c r="BG323" s="46"/>
      <c r="BH323" s="46"/>
      <c r="BI323" s="46"/>
      <c r="BJ323" s="46"/>
      <c r="BK323" s="46"/>
      <c r="BL323" s="46"/>
      <c r="BM323" s="46"/>
      <c r="BN323" s="46"/>
      <c r="BO323" s="46"/>
      <c r="BP323" s="46"/>
      <c r="BQ323" s="46"/>
      <c r="BR323" s="46"/>
      <c r="BS323" s="46"/>
      <c r="BT323" s="46"/>
      <c r="BU323" s="46"/>
      <c r="BV323" s="46"/>
      <c r="BW323" s="46"/>
      <c r="BX323" s="46"/>
      <c r="BY323" s="46"/>
      <c r="BZ323" s="46"/>
      <c r="CA323" s="46"/>
      <c r="CB323" s="46"/>
      <c r="CC323" s="46"/>
      <c r="CD323" s="46"/>
      <c r="CE323" s="46"/>
      <c r="CF323" s="46"/>
      <c r="CG323" s="46"/>
      <c r="CH323" s="46"/>
      <c r="CI323" s="46"/>
      <c r="CJ323" s="46"/>
      <c r="CK323" s="46"/>
      <c r="CL323" s="46"/>
      <c r="CM323" s="46"/>
      <c r="CN323" s="46"/>
    </row>
    <row r="324">
      <c r="A324" s="46"/>
      <c r="B324" s="46"/>
      <c r="C324" s="46"/>
      <c r="D324" s="46"/>
      <c r="E324" s="46"/>
      <c r="F324" s="46"/>
      <c r="G324" s="46"/>
      <c r="H324" s="46"/>
      <c r="I324" s="46"/>
      <c r="J324" s="46"/>
      <c r="K324" s="46"/>
      <c r="L324" s="51"/>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51"/>
      <c r="BB324" s="46"/>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46"/>
      <c r="BZ324" s="46"/>
      <c r="CA324" s="46"/>
      <c r="CB324" s="46"/>
      <c r="CC324" s="46"/>
      <c r="CD324" s="46"/>
      <c r="CE324" s="46"/>
      <c r="CF324" s="46"/>
      <c r="CG324" s="46"/>
      <c r="CH324" s="46"/>
      <c r="CI324" s="46"/>
      <c r="CJ324" s="46"/>
      <c r="CK324" s="46"/>
      <c r="CL324" s="46"/>
      <c r="CM324" s="46"/>
      <c r="CN324" s="46"/>
    </row>
    <row r="325">
      <c r="A325" s="46"/>
      <c r="B325" s="46"/>
      <c r="C325" s="46"/>
      <c r="D325" s="46"/>
      <c r="E325" s="46"/>
      <c r="F325" s="46"/>
      <c r="G325" s="46"/>
      <c r="H325" s="46"/>
      <c r="I325" s="46"/>
      <c r="J325" s="46"/>
      <c r="K325" s="46"/>
      <c r="L325" s="51"/>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51"/>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c r="CD325" s="46"/>
      <c r="CE325" s="46"/>
      <c r="CF325" s="46"/>
      <c r="CG325" s="46"/>
      <c r="CH325" s="46"/>
      <c r="CI325" s="46"/>
      <c r="CJ325" s="46"/>
      <c r="CK325" s="46"/>
      <c r="CL325" s="46"/>
      <c r="CM325" s="46"/>
      <c r="CN325" s="46"/>
    </row>
    <row r="326">
      <c r="A326" s="46"/>
      <c r="B326" s="46"/>
      <c r="C326" s="46"/>
      <c r="D326" s="46"/>
      <c r="E326" s="46"/>
      <c r="F326" s="46"/>
      <c r="G326" s="46"/>
      <c r="H326" s="46"/>
      <c r="I326" s="46"/>
      <c r="J326" s="46"/>
      <c r="K326" s="46"/>
      <c r="L326" s="51"/>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51"/>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row>
    <row r="327">
      <c r="A327" s="46"/>
      <c r="B327" s="46"/>
      <c r="C327" s="46"/>
      <c r="D327" s="46"/>
      <c r="E327" s="46"/>
      <c r="F327" s="46"/>
      <c r="G327" s="46"/>
      <c r="H327" s="46"/>
      <c r="I327" s="46"/>
      <c r="J327" s="46"/>
      <c r="K327" s="46"/>
      <c r="L327" s="51"/>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51"/>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c r="CD327" s="46"/>
      <c r="CE327" s="46"/>
      <c r="CF327" s="46"/>
      <c r="CG327" s="46"/>
      <c r="CH327" s="46"/>
      <c r="CI327" s="46"/>
      <c r="CJ327" s="46"/>
      <c r="CK327" s="46"/>
      <c r="CL327" s="46"/>
      <c r="CM327" s="46"/>
      <c r="CN327" s="46"/>
    </row>
    <row r="328">
      <c r="A328" s="46"/>
      <c r="B328" s="46"/>
      <c r="C328" s="46"/>
      <c r="D328" s="46"/>
      <c r="E328" s="46"/>
      <c r="F328" s="46"/>
      <c r="G328" s="46"/>
      <c r="H328" s="46"/>
      <c r="I328" s="46"/>
      <c r="J328" s="46"/>
      <c r="K328" s="46"/>
      <c r="L328" s="51"/>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51"/>
      <c r="BB328" s="46"/>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46"/>
      <c r="BZ328" s="46"/>
      <c r="CA328" s="46"/>
      <c r="CB328" s="46"/>
      <c r="CC328" s="46"/>
      <c r="CD328" s="46"/>
      <c r="CE328" s="46"/>
      <c r="CF328" s="46"/>
      <c r="CG328" s="46"/>
      <c r="CH328" s="46"/>
      <c r="CI328" s="46"/>
      <c r="CJ328" s="46"/>
      <c r="CK328" s="46"/>
      <c r="CL328" s="46"/>
      <c r="CM328" s="46"/>
      <c r="CN328" s="46"/>
    </row>
    <row r="329">
      <c r="A329" s="46"/>
      <c r="B329" s="46"/>
      <c r="C329" s="46"/>
      <c r="D329" s="46"/>
      <c r="E329" s="46"/>
      <c r="F329" s="46"/>
      <c r="G329" s="46"/>
      <c r="H329" s="46"/>
      <c r="I329" s="46"/>
      <c r="J329" s="46"/>
      <c r="K329" s="46"/>
      <c r="L329" s="51"/>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51"/>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6"/>
      <c r="BY329" s="46"/>
      <c r="BZ329" s="46"/>
      <c r="CA329" s="46"/>
      <c r="CB329" s="46"/>
      <c r="CC329" s="46"/>
      <c r="CD329" s="46"/>
      <c r="CE329" s="46"/>
      <c r="CF329" s="46"/>
      <c r="CG329" s="46"/>
      <c r="CH329" s="46"/>
      <c r="CI329" s="46"/>
      <c r="CJ329" s="46"/>
      <c r="CK329" s="46"/>
      <c r="CL329" s="46"/>
      <c r="CM329" s="46"/>
      <c r="CN329" s="46"/>
    </row>
    <row r="330">
      <c r="A330" s="46"/>
      <c r="B330" s="46"/>
      <c r="C330" s="46"/>
      <c r="D330" s="46"/>
      <c r="E330" s="46"/>
      <c r="F330" s="46"/>
      <c r="G330" s="46"/>
      <c r="H330" s="46"/>
      <c r="I330" s="46"/>
      <c r="J330" s="46"/>
      <c r="K330" s="46"/>
      <c r="L330" s="51"/>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51"/>
      <c r="BB330" s="46"/>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46"/>
      <c r="BZ330" s="46"/>
      <c r="CA330" s="46"/>
      <c r="CB330" s="46"/>
      <c r="CC330" s="46"/>
      <c r="CD330" s="46"/>
      <c r="CE330" s="46"/>
      <c r="CF330" s="46"/>
      <c r="CG330" s="46"/>
      <c r="CH330" s="46"/>
      <c r="CI330" s="46"/>
      <c r="CJ330" s="46"/>
      <c r="CK330" s="46"/>
      <c r="CL330" s="46"/>
      <c r="CM330" s="46"/>
      <c r="CN330" s="46"/>
    </row>
    <row r="331">
      <c r="A331" s="46"/>
      <c r="B331" s="46"/>
      <c r="C331" s="46"/>
      <c r="D331" s="46"/>
      <c r="E331" s="46"/>
      <c r="F331" s="46"/>
      <c r="G331" s="46"/>
      <c r="H331" s="46"/>
      <c r="I331" s="46"/>
      <c r="J331" s="46"/>
      <c r="K331" s="46"/>
      <c r="L331" s="51"/>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51"/>
      <c r="BB331" s="46"/>
      <c r="BC331" s="46"/>
      <c r="BD331" s="46"/>
      <c r="BE331" s="46"/>
      <c r="BF331" s="46"/>
      <c r="BG331" s="46"/>
      <c r="BH331" s="46"/>
      <c r="BI331" s="46"/>
      <c r="BJ331" s="46"/>
      <c r="BK331" s="46"/>
      <c r="BL331" s="46"/>
      <c r="BM331" s="46"/>
      <c r="BN331" s="46"/>
      <c r="BO331" s="46"/>
      <c r="BP331" s="46"/>
      <c r="BQ331" s="46"/>
      <c r="BR331" s="46"/>
      <c r="BS331" s="46"/>
      <c r="BT331" s="46"/>
      <c r="BU331" s="46"/>
      <c r="BV331" s="46"/>
      <c r="BW331" s="46"/>
      <c r="BX331" s="46"/>
      <c r="BY331" s="46"/>
      <c r="BZ331" s="46"/>
      <c r="CA331" s="46"/>
      <c r="CB331" s="46"/>
      <c r="CC331" s="46"/>
      <c r="CD331" s="46"/>
      <c r="CE331" s="46"/>
      <c r="CF331" s="46"/>
      <c r="CG331" s="46"/>
      <c r="CH331" s="46"/>
      <c r="CI331" s="46"/>
      <c r="CJ331" s="46"/>
      <c r="CK331" s="46"/>
      <c r="CL331" s="46"/>
      <c r="CM331" s="46"/>
      <c r="CN331" s="46"/>
    </row>
    <row r="332">
      <c r="A332" s="46"/>
      <c r="B332" s="46"/>
      <c r="C332" s="46"/>
      <c r="D332" s="46"/>
      <c r="E332" s="46"/>
      <c r="F332" s="46"/>
      <c r="G332" s="46"/>
      <c r="H332" s="46"/>
      <c r="I332" s="46"/>
      <c r="J332" s="46"/>
      <c r="K332" s="46"/>
      <c r="L332" s="51"/>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51"/>
      <c r="BB332" s="46"/>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46"/>
      <c r="BZ332" s="46"/>
      <c r="CA332" s="46"/>
      <c r="CB332" s="46"/>
      <c r="CC332" s="46"/>
      <c r="CD332" s="46"/>
      <c r="CE332" s="46"/>
      <c r="CF332" s="46"/>
      <c r="CG332" s="46"/>
      <c r="CH332" s="46"/>
      <c r="CI332" s="46"/>
      <c r="CJ332" s="46"/>
      <c r="CK332" s="46"/>
      <c r="CL332" s="46"/>
      <c r="CM332" s="46"/>
      <c r="CN332" s="46"/>
    </row>
    <row r="333">
      <c r="A333" s="46"/>
      <c r="B333" s="46"/>
      <c r="C333" s="46"/>
      <c r="D333" s="46"/>
      <c r="E333" s="46"/>
      <c r="F333" s="46"/>
      <c r="G333" s="46"/>
      <c r="H333" s="46"/>
      <c r="I333" s="46"/>
      <c r="J333" s="46"/>
      <c r="K333" s="46"/>
      <c r="L333" s="51"/>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51"/>
      <c r="BB333" s="46"/>
      <c r="BC333" s="46"/>
      <c r="BD333" s="46"/>
      <c r="BE333" s="46"/>
      <c r="BF333" s="46"/>
      <c r="BG333" s="46"/>
      <c r="BH333" s="46"/>
      <c r="BI333" s="46"/>
      <c r="BJ333" s="46"/>
      <c r="BK333" s="46"/>
      <c r="BL333" s="46"/>
      <c r="BM333" s="46"/>
      <c r="BN333" s="46"/>
      <c r="BO333" s="46"/>
      <c r="BP333" s="46"/>
      <c r="BQ333" s="46"/>
      <c r="BR333" s="46"/>
      <c r="BS333" s="46"/>
      <c r="BT333" s="46"/>
      <c r="BU333" s="46"/>
      <c r="BV333" s="46"/>
      <c r="BW333" s="46"/>
      <c r="BX333" s="46"/>
      <c r="BY333" s="46"/>
      <c r="BZ333" s="46"/>
      <c r="CA333" s="46"/>
      <c r="CB333" s="46"/>
      <c r="CC333" s="46"/>
      <c r="CD333" s="46"/>
      <c r="CE333" s="46"/>
      <c r="CF333" s="46"/>
      <c r="CG333" s="46"/>
      <c r="CH333" s="46"/>
      <c r="CI333" s="46"/>
      <c r="CJ333" s="46"/>
      <c r="CK333" s="46"/>
      <c r="CL333" s="46"/>
      <c r="CM333" s="46"/>
      <c r="CN333" s="46"/>
    </row>
    <row r="334">
      <c r="A334" s="46"/>
      <c r="B334" s="46"/>
      <c r="C334" s="46"/>
      <c r="D334" s="46"/>
      <c r="E334" s="46"/>
      <c r="F334" s="46"/>
      <c r="G334" s="46"/>
      <c r="H334" s="46"/>
      <c r="I334" s="46"/>
      <c r="J334" s="46"/>
      <c r="K334" s="46"/>
      <c r="L334" s="51"/>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51"/>
      <c r="BB334" s="46"/>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46"/>
      <c r="BZ334" s="46"/>
      <c r="CA334" s="46"/>
      <c r="CB334" s="46"/>
      <c r="CC334" s="46"/>
      <c r="CD334" s="46"/>
      <c r="CE334" s="46"/>
      <c r="CF334" s="46"/>
      <c r="CG334" s="46"/>
      <c r="CH334" s="46"/>
      <c r="CI334" s="46"/>
      <c r="CJ334" s="46"/>
      <c r="CK334" s="46"/>
      <c r="CL334" s="46"/>
      <c r="CM334" s="46"/>
      <c r="CN334" s="46"/>
    </row>
    <row r="335">
      <c r="A335" s="46"/>
      <c r="B335" s="46"/>
      <c r="C335" s="46"/>
      <c r="D335" s="46"/>
      <c r="E335" s="46"/>
      <c r="F335" s="46"/>
      <c r="G335" s="46"/>
      <c r="H335" s="46"/>
      <c r="I335" s="46"/>
      <c r="J335" s="46"/>
      <c r="K335" s="46"/>
      <c r="L335" s="51"/>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51"/>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6"/>
      <c r="BY335" s="46"/>
      <c r="BZ335" s="46"/>
      <c r="CA335" s="46"/>
      <c r="CB335" s="46"/>
      <c r="CC335" s="46"/>
      <c r="CD335" s="46"/>
      <c r="CE335" s="46"/>
      <c r="CF335" s="46"/>
      <c r="CG335" s="46"/>
      <c r="CH335" s="46"/>
      <c r="CI335" s="46"/>
      <c r="CJ335" s="46"/>
      <c r="CK335" s="46"/>
      <c r="CL335" s="46"/>
      <c r="CM335" s="46"/>
      <c r="CN335" s="46"/>
    </row>
    <row r="336">
      <c r="A336" s="46"/>
      <c r="B336" s="46"/>
      <c r="C336" s="46"/>
      <c r="D336" s="46"/>
      <c r="E336" s="46"/>
      <c r="F336" s="46"/>
      <c r="G336" s="46"/>
      <c r="H336" s="46"/>
      <c r="I336" s="46"/>
      <c r="J336" s="46"/>
      <c r="K336" s="46"/>
      <c r="L336" s="51"/>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51"/>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row>
    <row r="337">
      <c r="A337" s="46"/>
      <c r="B337" s="46"/>
      <c r="C337" s="46"/>
      <c r="D337" s="46"/>
      <c r="E337" s="46"/>
      <c r="F337" s="46"/>
      <c r="G337" s="46"/>
      <c r="H337" s="46"/>
      <c r="I337" s="46"/>
      <c r="J337" s="46"/>
      <c r="K337" s="46"/>
      <c r="L337" s="51"/>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51"/>
      <c r="BB337" s="46"/>
      <c r="BC337" s="46"/>
      <c r="BD337" s="46"/>
      <c r="BE337" s="46"/>
      <c r="BF337" s="46"/>
      <c r="BG337" s="46"/>
      <c r="BH337" s="46"/>
      <c r="BI337" s="46"/>
      <c r="BJ337" s="46"/>
      <c r="BK337" s="46"/>
      <c r="BL337" s="46"/>
      <c r="BM337" s="46"/>
      <c r="BN337" s="46"/>
      <c r="BO337" s="46"/>
      <c r="BP337" s="46"/>
      <c r="BQ337" s="46"/>
      <c r="BR337" s="46"/>
      <c r="BS337" s="46"/>
      <c r="BT337" s="46"/>
      <c r="BU337" s="46"/>
      <c r="BV337" s="46"/>
      <c r="BW337" s="46"/>
      <c r="BX337" s="46"/>
      <c r="BY337" s="46"/>
      <c r="BZ337" s="46"/>
      <c r="CA337" s="46"/>
      <c r="CB337" s="46"/>
      <c r="CC337" s="46"/>
      <c r="CD337" s="46"/>
      <c r="CE337" s="46"/>
      <c r="CF337" s="46"/>
      <c r="CG337" s="46"/>
      <c r="CH337" s="46"/>
      <c r="CI337" s="46"/>
      <c r="CJ337" s="46"/>
      <c r="CK337" s="46"/>
      <c r="CL337" s="46"/>
      <c r="CM337" s="46"/>
      <c r="CN337" s="46"/>
    </row>
    <row r="338">
      <c r="A338" s="46"/>
      <c r="B338" s="46"/>
      <c r="C338" s="46"/>
      <c r="D338" s="46"/>
      <c r="E338" s="46"/>
      <c r="F338" s="46"/>
      <c r="G338" s="46"/>
      <c r="H338" s="46"/>
      <c r="I338" s="46"/>
      <c r="J338" s="46"/>
      <c r="K338" s="46"/>
      <c r="L338" s="51"/>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51"/>
      <c r="BB338" s="46"/>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46"/>
      <c r="BZ338" s="46"/>
      <c r="CA338" s="46"/>
      <c r="CB338" s="46"/>
      <c r="CC338" s="46"/>
      <c r="CD338" s="46"/>
      <c r="CE338" s="46"/>
      <c r="CF338" s="46"/>
      <c r="CG338" s="46"/>
      <c r="CH338" s="46"/>
      <c r="CI338" s="46"/>
      <c r="CJ338" s="46"/>
      <c r="CK338" s="46"/>
      <c r="CL338" s="46"/>
      <c r="CM338" s="46"/>
      <c r="CN338" s="46"/>
    </row>
    <row r="339">
      <c r="A339" s="46"/>
      <c r="B339" s="46"/>
      <c r="C339" s="46"/>
      <c r="D339" s="46"/>
      <c r="E339" s="46"/>
      <c r="F339" s="46"/>
      <c r="G339" s="46"/>
      <c r="H339" s="46"/>
      <c r="I339" s="46"/>
      <c r="J339" s="46"/>
      <c r="K339" s="46"/>
      <c r="L339" s="51"/>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51"/>
      <c r="BB339" s="46"/>
      <c r="BC339" s="46"/>
      <c r="BD339" s="46"/>
      <c r="BE339" s="46"/>
      <c r="BF339" s="46"/>
      <c r="BG339" s="46"/>
      <c r="BH339" s="46"/>
      <c r="BI339" s="46"/>
      <c r="BJ339" s="46"/>
      <c r="BK339" s="46"/>
      <c r="BL339" s="46"/>
      <c r="BM339" s="46"/>
      <c r="BN339" s="46"/>
      <c r="BO339" s="46"/>
      <c r="BP339" s="46"/>
      <c r="BQ339" s="46"/>
      <c r="BR339" s="46"/>
      <c r="BS339" s="46"/>
      <c r="BT339" s="46"/>
      <c r="BU339" s="46"/>
      <c r="BV339" s="46"/>
      <c r="BW339" s="46"/>
      <c r="BX339" s="46"/>
      <c r="BY339" s="46"/>
      <c r="BZ339" s="46"/>
      <c r="CA339" s="46"/>
      <c r="CB339" s="46"/>
      <c r="CC339" s="46"/>
      <c r="CD339" s="46"/>
      <c r="CE339" s="46"/>
      <c r="CF339" s="46"/>
      <c r="CG339" s="46"/>
      <c r="CH339" s="46"/>
      <c r="CI339" s="46"/>
      <c r="CJ339" s="46"/>
      <c r="CK339" s="46"/>
      <c r="CL339" s="46"/>
      <c r="CM339" s="46"/>
      <c r="CN339" s="46"/>
    </row>
    <row r="340">
      <c r="A340" s="46"/>
      <c r="B340" s="46"/>
      <c r="C340" s="46"/>
      <c r="D340" s="46"/>
      <c r="E340" s="46"/>
      <c r="F340" s="46"/>
      <c r="G340" s="46"/>
      <c r="H340" s="46"/>
      <c r="I340" s="46"/>
      <c r="J340" s="46"/>
      <c r="K340" s="46"/>
      <c r="L340" s="51"/>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51"/>
      <c r="BB340" s="46"/>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46"/>
      <c r="BZ340" s="46"/>
      <c r="CA340" s="46"/>
      <c r="CB340" s="46"/>
      <c r="CC340" s="46"/>
      <c r="CD340" s="46"/>
      <c r="CE340" s="46"/>
      <c r="CF340" s="46"/>
      <c r="CG340" s="46"/>
      <c r="CH340" s="46"/>
      <c r="CI340" s="46"/>
      <c r="CJ340" s="46"/>
      <c r="CK340" s="46"/>
      <c r="CL340" s="46"/>
      <c r="CM340" s="46"/>
      <c r="CN340" s="46"/>
    </row>
    <row r="341">
      <c r="A341" s="46"/>
      <c r="B341" s="46"/>
      <c r="C341" s="46"/>
      <c r="D341" s="46"/>
      <c r="E341" s="46"/>
      <c r="F341" s="46"/>
      <c r="G341" s="46"/>
      <c r="H341" s="46"/>
      <c r="I341" s="46"/>
      <c r="J341" s="46"/>
      <c r="K341" s="46"/>
      <c r="L341" s="51"/>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51"/>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6"/>
      <c r="BY341" s="46"/>
      <c r="BZ341" s="46"/>
      <c r="CA341" s="46"/>
      <c r="CB341" s="46"/>
      <c r="CC341" s="46"/>
      <c r="CD341" s="46"/>
      <c r="CE341" s="46"/>
      <c r="CF341" s="46"/>
      <c r="CG341" s="46"/>
      <c r="CH341" s="46"/>
      <c r="CI341" s="46"/>
      <c r="CJ341" s="46"/>
      <c r="CK341" s="46"/>
      <c r="CL341" s="46"/>
      <c r="CM341" s="46"/>
      <c r="CN341" s="46"/>
    </row>
    <row r="342">
      <c r="A342" s="46"/>
      <c r="B342" s="46"/>
      <c r="C342" s="46"/>
      <c r="D342" s="46"/>
      <c r="E342" s="46"/>
      <c r="F342" s="46"/>
      <c r="G342" s="46"/>
      <c r="H342" s="46"/>
      <c r="I342" s="46"/>
      <c r="J342" s="46"/>
      <c r="K342" s="46"/>
      <c r="L342" s="51"/>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51"/>
      <c r="BB342" s="46"/>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46"/>
      <c r="BZ342" s="46"/>
      <c r="CA342" s="46"/>
      <c r="CB342" s="46"/>
      <c r="CC342" s="46"/>
      <c r="CD342" s="46"/>
      <c r="CE342" s="46"/>
      <c r="CF342" s="46"/>
      <c r="CG342" s="46"/>
      <c r="CH342" s="46"/>
      <c r="CI342" s="46"/>
      <c r="CJ342" s="46"/>
      <c r="CK342" s="46"/>
      <c r="CL342" s="46"/>
      <c r="CM342" s="46"/>
      <c r="CN342" s="46"/>
    </row>
    <row r="343">
      <c r="A343" s="46"/>
      <c r="B343" s="46"/>
      <c r="C343" s="46"/>
      <c r="D343" s="46"/>
      <c r="E343" s="46"/>
      <c r="F343" s="46"/>
      <c r="G343" s="46"/>
      <c r="H343" s="46"/>
      <c r="I343" s="46"/>
      <c r="J343" s="46"/>
      <c r="K343" s="46"/>
      <c r="L343" s="51"/>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51"/>
      <c r="BB343" s="46"/>
      <c r="BC343" s="46"/>
      <c r="BD343" s="46"/>
      <c r="BE343" s="46"/>
      <c r="BF343" s="46"/>
      <c r="BG343" s="46"/>
      <c r="BH343" s="46"/>
      <c r="BI343" s="46"/>
      <c r="BJ343" s="46"/>
      <c r="BK343" s="46"/>
      <c r="BL343" s="46"/>
      <c r="BM343" s="46"/>
      <c r="BN343" s="46"/>
      <c r="BO343" s="46"/>
      <c r="BP343" s="46"/>
      <c r="BQ343" s="46"/>
      <c r="BR343" s="46"/>
      <c r="BS343" s="46"/>
      <c r="BT343" s="46"/>
      <c r="BU343" s="46"/>
      <c r="BV343" s="46"/>
      <c r="BW343" s="46"/>
      <c r="BX343" s="46"/>
      <c r="BY343" s="46"/>
      <c r="BZ343" s="46"/>
      <c r="CA343" s="46"/>
      <c r="CB343" s="46"/>
      <c r="CC343" s="46"/>
      <c r="CD343" s="46"/>
      <c r="CE343" s="46"/>
      <c r="CF343" s="46"/>
      <c r="CG343" s="46"/>
      <c r="CH343" s="46"/>
      <c r="CI343" s="46"/>
      <c r="CJ343" s="46"/>
      <c r="CK343" s="46"/>
      <c r="CL343" s="46"/>
      <c r="CM343" s="46"/>
      <c r="CN343" s="46"/>
    </row>
    <row r="344">
      <c r="A344" s="46"/>
      <c r="B344" s="46"/>
      <c r="C344" s="46"/>
      <c r="D344" s="46"/>
      <c r="E344" s="46"/>
      <c r="F344" s="46"/>
      <c r="G344" s="46"/>
      <c r="H344" s="46"/>
      <c r="I344" s="46"/>
      <c r="J344" s="46"/>
      <c r="K344" s="46"/>
      <c r="L344" s="51"/>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51"/>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row>
    <row r="345">
      <c r="A345" s="46"/>
      <c r="B345" s="46"/>
      <c r="C345" s="46"/>
      <c r="D345" s="46"/>
      <c r="E345" s="46"/>
      <c r="F345" s="46"/>
      <c r="G345" s="46"/>
      <c r="H345" s="46"/>
      <c r="I345" s="46"/>
      <c r="J345" s="46"/>
      <c r="K345" s="46"/>
      <c r="L345" s="51"/>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51"/>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c r="CD345" s="46"/>
      <c r="CE345" s="46"/>
      <c r="CF345" s="46"/>
      <c r="CG345" s="46"/>
      <c r="CH345" s="46"/>
      <c r="CI345" s="46"/>
      <c r="CJ345" s="46"/>
      <c r="CK345" s="46"/>
      <c r="CL345" s="46"/>
      <c r="CM345" s="46"/>
      <c r="CN345" s="46"/>
    </row>
    <row r="346">
      <c r="A346" s="46"/>
      <c r="B346" s="46"/>
      <c r="C346" s="46"/>
      <c r="D346" s="46"/>
      <c r="E346" s="46"/>
      <c r="F346" s="46"/>
      <c r="G346" s="46"/>
      <c r="H346" s="46"/>
      <c r="I346" s="46"/>
      <c r="J346" s="46"/>
      <c r="K346" s="46"/>
      <c r="L346" s="51"/>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51"/>
      <c r="BB346" s="46"/>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46"/>
      <c r="BZ346" s="46"/>
      <c r="CA346" s="46"/>
      <c r="CB346" s="46"/>
      <c r="CC346" s="46"/>
      <c r="CD346" s="46"/>
      <c r="CE346" s="46"/>
      <c r="CF346" s="46"/>
      <c r="CG346" s="46"/>
      <c r="CH346" s="46"/>
      <c r="CI346" s="46"/>
      <c r="CJ346" s="46"/>
      <c r="CK346" s="46"/>
      <c r="CL346" s="46"/>
      <c r="CM346" s="46"/>
      <c r="CN346" s="46"/>
    </row>
    <row r="347">
      <c r="A347" s="46"/>
      <c r="B347" s="46"/>
      <c r="C347" s="46"/>
      <c r="D347" s="46"/>
      <c r="E347" s="46"/>
      <c r="F347" s="46"/>
      <c r="G347" s="46"/>
      <c r="H347" s="46"/>
      <c r="I347" s="46"/>
      <c r="J347" s="46"/>
      <c r="K347" s="46"/>
      <c r="L347" s="51"/>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51"/>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6"/>
      <c r="BY347" s="46"/>
      <c r="BZ347" s="46"/>
      <c r="CA347" s="46"/>
      <c r="CB347" s="46"/>
      <c r="CC347" s="46"/>
      <c r="CD347" s="46"/>
      <c r="CE347" s="46"/>
      <c r="CF347" s="46"/>
      <c r="CG347" s="46"/>
      <c r="CH347" s="46"/>
      <c r="CI347" s="46"/>
      <c r="CJ347" s="46"/>
      <c r="CK347" s="46"/>
      <c r="CL347" s="46"/>
      <c r="CM347" s="46"/>
      <c r="CN347" s="46"/>
    </row>
    <row r="348">
      <c r="A348" s="46"/>
      <c r="B348" s="46"/>
      <c r="C348" s="46"/>
      <c r="D348" s="46"/>
      <c r="E348" s="46"/>
      <c r="F348" s="46"/>
      <c r="G348" s="46"/>
      <c r="H348" s="46"/>
      <c r="I348" s="46"/>
      <c r="J348" s="46"/>
      <c r="K348" s="46"/>
      <c r="L348" s="51"/>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51"/>
      <c r="BB348" s="46"/>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46"/>
      <c r="BZ348" s="46"/>
      <c r="CA348" s="46"/>
      <c r="CB348" s="46"/>
      <c r="CC348" s="46"/>
      <c r="CD348" s="46"/>
      <c r="CE348" s="46"/>
      <c r="CF348" s="46"/>
      <c r="CG348" s="46"/>
      <c r="CH348" s="46"/>
      <c r="CI348" s="46"/>
      <c r="CJ348" s="46"/>
      <c r="CK348" s="46"/>
      <c r="CL348" s="46"/>
      <c r="CM348" s="46"/>
      <c r="CN348" s="46"/>
    </row>
    <row r="349">
      <c r="A349" s="46"/>
      <c r="B349" s="46"/>
      <c r="C349" s="46"/>
      <c r="D349" s="46"/>
      <c r="E349" s="46"/>
      <c r="F349" s="46"/>
      <c r="G349" s="46"/>
      <c r="H349" s="46"/>
      <c r="I349" s="46"/>
      <c r="J349" s="46"/>
      <c r="K349" s="46"/>
      <c r="L349" s="51"/>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51"/>
      <c r="BB349" s="46"/>
      <c r="BC349" s="46"/>
      <c r="BD349" s="46"/>
      <c r="BE349" s="46"/>
      <c r="BF349" s="46"/>
      <c r="BG349" s="46"/>
      <c r="BH349" s="46"/>
      <c r="BI349" s="46"/>
      <c r="BJ349" s="46"/>
      <c r="BK349" s="46"/>
      <c r="BL349" s="46"/>
      <c r="BM349" s="46"/>
      <c r="BN349" s="46"/>
      <c r="BO349" s="46"/>
      <c r="BP349" s="46"/>
      <c r="BQ349" s="46"/>
      <c r="BR349" s="46"/>
      <c r="BS349" s="46"/>
      <c r="BT349" s="46"/>
      <c r="BU349" s="46"/>
      <c r="BV349" s="46"/>
      <c r="BW349" s="46"/>
      <c r="BX349" s="46"/>
      <c r="BY349" s="46"/>
      <c r="BZ349" s="46"/>
      <c r="CA349" s="46"/>
      <c r="CB349" s="46"/>
      <c r="CC349" s="46"/>
      <c r="CD349" s="46"/>
      <c r="CE349" s="46"/>
      <c r="CF349" s="46"/>
      <c r="CG349" s="46"/>
      <c r="CH349" s="46"/>
      <c r="CI349" s="46"/>
      <c r="CJ349" s="46"/>
      <c r="CK349" s="46"/>
      <c r="CL349" s="46"/>
      <c r="CM349" s="46"/>
      <c r="CN349" s="46"/>
    </row>
    <row r="350">
      <c r="A350" s="46"/>
      <c r="B350" s="46"/>
      <c r="C350" s="46"/>
      <c r="D350" s="46"/>
      <c r="E350" s="46"/>
      <c r="F350" s="46"/>
      <c r="G350" s="46"/>
      <c r="H350" s="46"/>
      <c r="I350" s="46"/>
      <c r="J350" s="46"/>
      <c r="K350" s="46"/>
      <c r="L350" s="51"/>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51"/>
      <c r="BB350" s="46"/>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46"/>
      <c r="BZ350" s="46"/>
      <c r="CA350" s="46"/>
      <c r="CB350" s="46"/>
      <c r="CC350" s="46"/>
      <c r="CD350" s="46"/>
      <c r="CE350" s="46"/>
      <c r="CF350" s="46"/>
      <c r="CG350" s="46"/>
      <c r="CH350" s="46"/>
      <c r="CI350" s="46"/>
      <c r="CJ350" s="46"/>
      <c r="CK350" s="46"/>
      <c r="CL350" s="46"/>
      <c r="CM350" s="46"/>
      <c r="CN350" s="46"/>
    </row>
    <row r="351">
      <c r="A351" s="46"/>
      <c r="B351" s="46"/>
      <c r="C351" s="46"/>
      <c r="D351" s="46"/>
      <c r="E351" s="46"/>
      <c r="F351" s="46"/>
      <c r="G351" s="46"/>
      <c r="H351" s="46"/>
      <c r="I351" s="46"/>
      <c r="J351" s="46"/>
      <c r="K351" s="46"/>
      <c r="L351" s="51"/>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51"/>
      <c r="BB351" s="46"/>
      <c r="BC351" s="46"/>
      <c r="BD351" s="46"/>
      <c r="BE351" s="46"/>
      <c r="BF351" s="46"/>
      <c r="BG351" s="46"/>
      <c r="BH351" s="46"/>
      <c r="BI351" s="46"/>
      <c r="BJ351" s="46"/>
      <c r="BK351" s="46"/>
      <c r="BL351" s="46"/>
      <c r="BM351" s="46"/>
      <c r="BN351" s="46"/>
      <c r="BO351" s="46"/>
      <c r="BP351" s="46"/>
      <c r="BQ351" s="46"/>
      <c r="BR351" s="46"/>
      <c r="BS351" s="46"/>
      <c r="BT351" s="46"/>
      <c r="BU351" s="46"/>
      <c r="BV351" s="46"/>
      <c r="BW351" s="46"/>
      <c r="BX351" s="46"/>
      <c r="BY351" s="46"/>
      <c r="BZ351" s="46"/>
      <c r="CA351" s="46"/>
      <c r="CB351" s="46"/>
      <c r="CC351" s="46"/>
      <c r="CD351" s="46"/>
      <c r="CE351" s="46"/>
      <c r="CF351" s="46"/>
      <c r="CG351" s="46"/>
      <c r="CH351" s="46"/>
      <c r="CI351" s="46"/>
      <c r="CJ351" s="46"/>
      <c r="CK351" s="46"/>
      <c r="CL351" s="46"/>
      <c r="CM351" s="46"/>
      <c r="CN351" s="46"/>
    </row>
    <row r="352">
      <c r="A352" s="46"/>
      <c r="B352" s="46"/>
      <c r="C352" s="46"/>
      <c r="D352" s="46"/>
      <c r="E352" s="46"/>
      <c r="F352" s="46"/>
      <c r="G352" s="46"/>
      <c r="H352" s="46"/>
      <c r="I352" s="46"/>
      <c r="J352" s="46"/>
      <c r="K352" s="46"/>
      <c r="L352" s="51"/>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51"/>
      <c r="BB352" s="46"/>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46"/>
      <c r="BZ352" s="46"/>
      <c r="CA352" s="46"/>
      <c r="CB352" s="46"/>
      <c r="CC352" s="46"/>
      <c r="CD352" s="46"/>
      <c r="CE352" s="46"/>
      <c r="CF352" s="46"/>
      <c r="CG352" s="46"/>
      <c r="CH352" s="46"/>
      <c r="CI352" s="46"/>
      <c r="CJ352" s="46"/>
      <c r="CK352" s="46"/>
      <c r="CL352" s="46"/>
      <c r="CM352" s="46"/>
      <c r="CN352" s="46"/>
    </row>
    <row r="353">
      <c r="A353" s="46"/>
      <c r="B353" s="46"/>
      <c r="C353" s="46"/>
      <c r="D353" s="46"/>
      <c r="E353" s="46"/>
      <c r="F353" s="46"/>
      <c r="G353" s="46"/>
      <c r="H353" s="46"/>
      <c r="I353" s="46"/>
      <c r="J353" s="46"/>
      <c r="K353" s="46"/>
      <c r="L353" s="51"/>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51"/>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6"/>
      <c r="BY353" s="46"/>
      <c r="BZ353" s="46"/>
      <c r="CA353" s="46"/>
      <c r="CB353" s="46"/>
      <c r="CC353" s="46"/>
      <c r="CD353" s="46"/>
      <c r="CE353" s="46"/>
      <c r="CF353" s="46"/>
      <c r="CG353" s="46"/>
      <c r="CH353" s="46"/>
      <c r="CI353" s="46"/>
      <c r="CJ353" s="46"/>
      <c r="CK353" s="46"/>
      <c r="CL353" s="46"/>
      <c r="CM353" s="46"/>
      <c r="CN353" s="46"/>
    </row>
    <row r="354">
      <c r="A354" s="46"/>
      <c r="B354" s="46"/>
      <c r="C354" s="46"/>
      <c r="D354" s="46"/>
      <c r="E354" s="46"/>
      <c r="F354" s="46"/>
      <c r="G354" s="46"/>
      <c r="H354" s="46"/>
      <c r="I354" s="46"/>
      <c r="J354" s="46"/>
      <c r="K354" s="46"/>
      <c r="L354" s="51"/>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51"/>
      <c r="BB354" s="46"/>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46"/>
      <c r="BZ354" s="46"/>
      <c r="CA354" s="46"/>
      <c r="CB354" s="46"/>
      <c r="CC354" s="46"/>
      <c r="CD354" s="46"/>
      <c r="CE354" s="46"/>
      <c r="CF354" s="46"/>
      <c r="CG354" s="46"/>
      <c r="CH354" s="46"/>
      <c r="CI354" s="46"/>
      <c r="CJ354" s="46"/>
      <c r="CK354" s="46"/>
      <c r="CL354" s="46"/>
      <c r="CM354" s="46"/>
      <c r="CN354" s="46"/>
    </row>
    <row r="355">
      <c r="A355" s="46"/>
      <c r="B355" s="46"/>
      <c r="C355" s="46"/>
      <c r="D355" s="46"/>
      <c r="E355" s="46"/>
      <c r="F355" s="46"/>
      <c r="G355" s="46"/>
      <c r="H355" s="46"/>
      <c r="I355" s="46"/>
      <c r="J355" s="46"/>
      <c r="K355" s="46"/>
      <c r="L355" s="51"/>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51"/>
      <c r="BB355" s="46"/>
      <c r="BC355" s="46"/>
      <c r="BD355" s="46"/>
      <c r="BE355" s="46"/>
      <c r="BF355" s="46"/>
      <c r="BG355" s="46"/>
      <c r="BH355" s="46"/>
      <c r="BI355" s="46"/>
      <c r="BJ355" s="46"/>
      <c r="BK355" s="46"/>
      <c r="BL355" s="46"/>
      <c r="BM355" s="46"/>
      <c r="BN355" s="46"/>
      <c r="BO355" s="46"/>
      <c r="BP355" s="46"/>
      <c r="BQ355" s="46"/>
      <c r="BR355" s="46"/>
      <c r="BS355" s="46"/>
      <c r="BT355" s="46"/>
      <c r="BU355" s="46"/>
      <c r="BV355" s="46"/>
      <c r="BW355" s="46"/>
      <c r="BX355" s="46"/>
      <c r="BY355" s="46"/>
      <c r="BZ355" s="46"/>
      <c r="CA355" s="46"/>
      <c r="CB355" s="46"/>
      <c r="CC355" s="46"/>
      <c r="CD355" s="46"/>
      <c r="CE355" s="46"/>
      <c r="CF355" s="46"/>
      <c r="CG355" s="46"/>
      <c r="CH355" s="46"/>
      <c r="CI355" s="46"/>
      <c r="CJ355" s="46"/>
      <c r="CK355" s="46"/>
      <c r="CL355" s="46"/>
      <c r="CM355" s="46"/>
      <c r="CN355" s="46"/>
    </row>
    <row r="356">
      <c r="A356" s="46"/>
      <c r="B356" s="46"/>
      <c r="C356" s="46"/>
      <c r="D356" s="46"/>
      <c r="E356" s="46"/>
      <c r="F356" s="46"/>
      <c r="G356" s="46"/>
      <c r="H356" s="46"/>
      <c r="I356" s="46"/>
      <c r="J356" s="46"/>
      <c r="K356" s="46"/>
      <c r="L356" s="51"/>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51"/>
      <c r="BB356" s="46"/>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46"/>
      <c r="BZ356" s="46"/>
      <c r="CA356" s="46"/>
      <c r="CB356" s="46"/>
      <c r="CC356" s="46"/>
      <c r="CD356" s="46"/>
      <c r="CE356" s="46"/>
      <c r="CF356" s="46"/>
      <c r="CG356" s="46"/>
      <c r="CH356" s="46"/>
      <c r="CI356" s="46"/>
      <c r="CJ356" s="46"/>
      <c r="CK356" s="46"/>
      <c r="CL356" s="46"/>
      <c r="CM356" s="46"/>
      <c r="CN356" s="46"/>
    </row>
    <row r="357">
      <c r="A357" s="46"/>
      <c r="B357" s="46"/>
      <c r="C357" s="46"/>
      <c r="D357" s="46"/>
      <c r="E357" s="46"/>
      <c r="F357" s="46"/>
      <c r="G357" s="46"/>
      <c r="H357" s="46"/>
      <c r="I357" s="46"/>
      <c r="J357" s="46"/>
      <c r="K357" s="46"/>
      <c r="L357" s="51"/>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51"/>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c r="CD357" s="46"/>
      <c r="CE357" s="46"/>
      <c r="CF357" s="46"/>
      <c r="CG357" s="46"/>
      <c r="CH357" s="46"/>
      <c r="CI357" s="46"/>
      <c r="CJ357" s="46"/>
      <c r="CK357" s="46"/>
      <c r="CL357" s="46"/>
      <c r="CM357" s="46"/>
      <c r="CN357" s="46"/>
    </row>
    <row r="358">
      <c r="A358" s="46"/>
      <c r="B358" s="46"/>
      <c r="C358" s="46"/>
      <c r="D358" s="46"/>
      <c r="E358" s="46"/>
      <c r="F358" s="46"/>
      <c r="G358" s="46"/>
      <c r="H358" s="46"/>
      <c r="I358" s="46"/>
      <c r="J358" s="46"/>
      <c r="K358" s="46"/>
      <c r="L358" s="51"/>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51"/>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row>
    <row r="359">
      <c r="A359" s="46"/>
      <c r="B359" s="46"/>
      <c r="C359" s="46"/>
      <c r="D359" s="46"/>
      <c r="E359" s="46"/>
      <c r="F359" s="46"/>
      <c r="G359" s="46"/>
      <c r="H359" s="46"/>
      <c r="I359" s="46"/>
      <c r="J359" s="46"/>
      <c r="K359" s="46"/>
      <c r="L359" s="51"/>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51"/>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c r="CH359" s="46"/>
      <c r="CI359" s="46"/>
      <c r="CJ359" s="46"/>
      <c r="CK359" s="46"/>
      <c r="CL359" s="46"/>
      <c r="CM359" s="46"/>
      <c r="CN359" s="46"/>
    </row>
    <row r="360">
      <c r="A360" s="46"/>
      <c r="B360" s="46"/>
      <c r="C360" s="46"/>
      <c r="D360" s="46"/>
      <c r="E360" s="46"/>
      <c r="F360" s="46"/>
      <c r="G360" s="46"/>
      <c r="H360" s="46"/>
      <c r="I360" s="46"/>
      <c r="J360" s="46"/>
      <c r="K360" s="46"/>
      <c r="L360" s="51"/>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51"/>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row>
    <row r="361">
      <c r="A361" s="46"/>
      <c r="B361" s="46"/>
      <c r="C361" s="46"/>
      <c r="D361" s="46"/>
      <c r="E361" s="46"/>
      <c r="F361" s="46"/>
      <c r="G361" s="46"/>
      <c r="H361" s="46"/>
      <c r="I361" s="46"/>
      <c r="J361" s="46"/>
      <c r="K361" s="46"/>
      <c r="L361" s="51"/>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51"/>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c r="CH361" s="46"/>
      <c r="CI361" s="46"/>
      <c r="CJ361" s="46"/>
      <c r="CK361" s="46"/>
      <c r="CL361" s="46"/>
      <c r="CM361" s="46"/>
      <c r="CN361" s="46"/>
    </row>
    <row r="362">
      <c r="A362" s="46"/>
      <c r="B362" s="46"/>
      <c r="C362" s="46"/>
      <c r="D362" s="46"/>
      <c r="E362" s="46"/>
      <c r="F362" s="46"/>
      <c r="G362" s="46"/>
      <c r="H362" s="46"/>
      <c r="I362" s="46"/>
      <c r="J362" s="46"/>
      <c r="K362" s="46"/>
      <c r="L362" s="51"/>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51"/>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row>
    <row r="363">
      <c r="A363" s="46"/>
      <c r="B363" s="46"/>
      <c r="C363" s="46"/>
      <c r="D363" s="46"/>
      <c r="E363" s="46"/>
      <c r="F363" s="46"/>
      <c r="G363" s="46"/>
      <c r="H363" s="46"/>
      <c r="I363" s="46"/>
      <c r="J363" s="46"/>
      <c r="K363" s="46"/>
      <c r="L363" s="51"/>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51"/>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c r="CD363" s="46"/>
      <c r="CE363" s="46"/>
      <c r="CF363" s="46"/>
      <c r="CG363" s="46"/>
      <c r="CH363" s="46"/>
      <c r="CI363" s="46"/>
      <c r="CJ363" s="46"/>
      <c r="CK363" s="46"/>
      <c r="CL363" s="46"/>
      <c r="CM363" s="46"/>
      <c r="CN363" s="46"/>
    </row>
    <row r="364">
      <c r="A364" s="46"/>
      <c r="B364" s="46"/>
      <c r="C364" s="46"/>
      <c r="D364" s="46"/>
      <c r="E364" s="46"/>
      <c r="F364" s="46"/>
      <c r="G364" s="46"/>
      <c r="H364" s="46"/>
      <c r="I364" s="46"/>
      <c r="J364" s="46"/>
      <c r="K364" s="46"/>
      <c r="L364" s="51"/>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51"/>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row>
    <row r="365">
      <c r="A365" s="46"/>
      <c r="B365" s="46"/>
      <c r="C365" s="46"/>
      <c r="D365" s="46"/>
      <c r="E365" s="46"/>
      <c r="F365" s="46"/>
      <c r="G365" s="46"/>
      <c r="H365" s="46"/>
      <c r="I365" s="46"/>
      <c r="J365" s="46"/>
      <c r="K365" s="46"/>
      <c r="L365" s="51"/>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51"/>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c r="CD365" s="46"/>
      <c r="CE365" s="46"/>
      <c r="CF365" s="46"/>
      <c r="CG365" s="46"/>
      <c r="CH365" s="46"/>
      <c r="CI365" s="46"/>
      <c r="CJ365" s="46"/>
      <c r="CK365" s="46"/>
      <c r="CL365" s="46"/>
      <c r="CM365" s="46"/>
      <c r="CN365" s="46"/>
    </row>
    <row r="366">
      <c r="A366" s="46"/>
      <c r="B366" s="46"/>
      <c r="C366" s="46"/>
      <c r="D366" s="46"/>
      <c r="E366" s="46"/>
      <c r="F366" s="46"/>
      <c r="G366" s="46"/>
      <c r="H366" s="46"/>
      <c r="I366" s="46"/>
      <c r="J366" s="46"/>
      <c r="K366" s="46"/>
      <c r="L366" s="51"/>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51"/>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row>
    <row r="367">
      <c r="A367" s="46"/>
      <c r="B367" s="46"/>
      <c r="C367" s="46"/>
      <c r="D367" s="46"/>
      <c r="E367" s="46"/>
      <c r="F367" s="46"/>
      <c r="G367" s="46"/>
      <c r="H367" s="46"/>
      <c r="I367" s="46"/>
      <c r="J367" s="46"/>
      <c r="K367" s="46"/>
      <c r="L367" s="51"/>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51"/>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c r="CH367" s="46"/>
      <c r="CI367" s="46"/>
      <c r="CJ367" s="46"/>
      <c r="CK367" s="46"/>
      <c r="CL367" s="46"/>
      <c r="CM367" s="46"/>
      <c r="CN367" s="46"/>
    </row>
    <row r="368">
      <c r="A368" s="46"/>
      <c r="B368" s="46"/>
      <c r="C368" s="46"/>
      <c r="D368" s="46"/>
      <c r="E368" s="46"/>
      <c r="F368" s="46"/>
      <c r="G368" s="46"/>
      <c r="H368" s="46"/>
      <c r="I368" s="46"/>
      <c r="J368" s="46"/>
      <c r="K368" s="46"/>
      <c r="L368" s="51"/>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51"/>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row>
    <row r="369">
      <c r="A369" s="46"/>
      <c r="B369" s="46"/>
      <c r="C369" s="46"/>
      <c r="D369" s="46"/>
      <c r="E369" s="46"/>
      <c r="F369" s="46"/>
      <c r="G369" s="46"/>
      <c r="H369" s="46"/>
      <c r="I369" s="46"/>
      <c r="J369" s="46"/>
      <c r="K369" s="46"/>
      <c r="L369" s="51"/>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51"/>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c r="CD369" s="46"/>
      <c r="CE369" s="46"/>
      <c r="CF369" s="46"/>
      <c r="CG369" s="46"/>
      <c r="CH369" s="46"/>
      <c r="CI369" s="46"/>
      <c r="CJ369" s="46"/>
      <c r="CK369" s="46"/>
      <c r="CL369" s="46"/>
      <c r="CM369" s="46"/>
      <c r="CN369" s="46"/>
    </row>
    <row r="370">
      <c r="A370" s="46"/>
      <c r="B370" s="46"/>
      <c r="C370" s="46"/>
      <c r="D370" s="46"/>
      <c r="E370" s="46"/>
      <c r="F370" s="46"/>
      <c r="G370" s="46"/>
      <c r="H370" s="46"/>
      <c r="I370" s="46"/>
      <c r="J370" s="46"/>
      <c r="K370" s="46"/>
      <c r="L370" s="51"/>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51"/>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row>
    <row r="371">
      <c r="A371" s="46"/>
      <c r="B371" s="46"/>
      <c r="C371" s="46"/>
      <c r="D371" s="46"/>
      <c r="E371" s="46"/>
      <c r="F371" s="46"/>
      <c r="G371" s="46"/>
      <c r="H371" s="46"/>
      <c r="I371" s="46"/>
      <c r="J371" s="46"/>
      <c r="K371" s="46"/>
      <c r="L371" s="51"/>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51"/>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c r="CD371" s="46"/>
      <c r="CE371" s="46"/>
      <c r="CF371" s="46"/>
      <c r="CG371" s="46"/>
      <c r="CH371" s="46"/>
      <c r="CI371" s="46"/>
      <c r="CJ371" s="46"/>
      <c r="CK371" s="46"/>
      <c r="CL371" s="46"/>
      <c r="CM371" s="46"/>
      <c r="CN371" s="46"/>
    </row>
    <row r="372">
      <c r="A372" s="46"/>
      <c r="B372" s="46"/>
      <c r="C372" s="46"/>
      <c r="D372" s="46"/>
      <c r="E372" s="46"/>
      <c r="F372" s="46"/>
      <c r="G372" s="46"/>
      <c r="H372" s="46"/>
      <c r="I372" s="46"/>
      <c r="J372" s="46"/>
      <c r="K372" s="46"/>
      <c r="L372" s="51"/>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51"/>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row>
    <row r="373">
      <c r="A373" s="46"/>
      <c r="B373" s="46"/>
      <c r="C373" s="46"/>
      <c r="D373" s="46"/>
      <c r="E373" s="46"/>
      <c r="F373" s="46"/>
      <c r="G373" s="46"/>
      <c r="H373" s="46"/>
      <c r="I373" s="46"/>
      <c r="J373" s="46"/>
      <c r="K373" s="46"/>
      <c r="L373" s="51"/>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51"/>
      <c r="BB373" s="46"/>
      <c r="BC373" s="46"/>
      <c r="BD373" s="46"/>
      <c r="BE373" s="46"/>
      <c r="BF373" s="46"/>
      <c r="BG373" s="46"/>
      <c r="BH373" s="46"/>
      <c r="BI373" s="46"/>
      <c r="BJ373" s="46"/>
      <c r="BK373" s="46"/>
      <c r="BL373" s="46"/>
      <c r="BM373" s="46"/>
      <c r="BN373" s="46"/>
      <c r="BO373" s="46"/>
      <c r="BP373" s="46"/>
      <c r="BQ373" s="46"/>
      <c r="BR373" s="46"/>
      <c r="BS373" s="46"/>
      <c r="BT373" s="46"/>
      <c r="BU373" s="46"/>
      <c r="BV373" s="46"/>
      <c r="BW373" s="46"/>
      <c r="BX373" s="46"/>
      <c r="BY373" s="46"/>
      <c r="BZ373" s="46"/>
      <c r="CA373" s="46"/>
      <c r="CB373" s="46"/>
      <c r="CC373" s="46"/>
      <c r="CD373" s="46"/>
      <c r="CE373" s="46"/>
      <c r="CF373" s="46"/>
      <c r="CG373" s="46"/>
      <c r="CH373" s="46"/>
      <c r="CI373" s="46"/>
      <c r="CJ373" s="46"/>
      <c r="CK373" s="46"/>
      <c r="CL373" s="46"/>
      <c r="CM373" s="46"/>
      <c r="CN373" s="46"/>
    </row>
    <row r="374">
      <c r="A374" s="46"/>
      <c r="B374" s="46"/>
      <c r="C374" s="46"/>
      <c r="D374" s="46"/>
      <c r="E374" s="46"/>
      <c r="F374" s="46"/>
      <c r="G374" s="46"/>
      <c r="H374" s="46"/>
      <c r="I374" s="46"/>
      <c r="J374" s="46"/>
      <c r="K374" s="46"/>
      <c r="L374" s="51"/>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51"/>
      <c r="BB374" s="46"/>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46"/>
      <c r="BZ374" s="46"/>
      <c r="CA374" s="46"/>
      <c r="CB374" s="46"/>
      <c r="CC374" s="46"/>
      <c r="CD374" s="46"/>
      <c r="CE374" s="46"/>
      <c r="CF374" s="46"/>
      <c r="CG374" s="46"/>
      <c r="CH374" s="46"/>
      <c r="CI374" s="46"/>
      <c r="CJ374" s="46"/>
      <c r="CK374" s="46"/>
      <c r="CL374" s="46"/>
      <c r="CM374" s="46"/>
      <c r="CN374" s="46"/>
    </row>
    <row r="375">
      <c r="A375" s="46"/>
      <c r="B375" s="46"/>
      <c r="C375" s="46"/>
      <c r="D375" s="46"/>
      <c r="E375" s="46"/>
      <c r="F375" s="46"/>
      <c r="G375" s="46"/>
      <c r="H375" s="46"/>
      <c r="I375" s="46"/>
      <c r="J375" s="46"/>
      <c r="K375" s="46"/>
      <c r="L375" s="51"/>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51"/>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6"/>
      <c r="BY375" s="46"/>
      <c r="BZ375" s="46"/>
      <c r="CA375" s="46"/>
      <c r="CB375" s="46"/>
      <c r="CC375" s="46"/>
      <c r="CD375" s="46"/>
      <c r="CE375" s="46"/>
      <c r="CF375" s="46"/>
      <c r="CG375" s="46"/>
      <c r="CH375" s="46"/>
      <c r="CI375" s="46"/>
      <c r="CJ375" s="46"/>
      <c r="CK375" s="46"/>
      <c r="CL375" s="46"/>
      <c r="CM375" s="46"/>
      <c r="CN375" s="46"/>
    </row>
    <row r="376">
      <c r="A376" s="46"/>
      <c r="B376" s="46"/>
      <c r="C376" s="46"/>
      <c r="D376" s="46"/>
      <c r="E376" s="46"/>
      <c r="F376" s="46"/>
      <c r="G376" s="46"/>
      <c r="H376" s="46"/>
      <c r="I376" s="46"/>
      <c r="J376" s="46"/>
      <c r="K376" s="46"/>
      <c r="L376" s="51"/>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51"/>
      <c r="BB376" s="46"/>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46"/>
      <c r="BZ376" s="46"/>
      <c r="CA376" s="46"/>
      <c r="CB376" s="46"/>
      <c r="CC376" s="46"/>
      <c r="CD376" s="46"/>
      <c r="CE376" s="46"/>
      <c r="CF376" s="46"/>
      <c r="CG376" s="46"/>
      <c r="CH376" s="46"/>
      <c r="CI376" s="46"/>
      <c r="CJ376" s="46"/>
      <c r="CK376" s="46"/>
      <c r="CL376" s="46"/>
      <c r="CM376" s="46"/>
      <c r="CN376" s="46"/>
    </row>
    <row r="377">
      <c r="A377" s="46"/>
      <c r="B377" s="46"/>
      <c r="C377" s="46"/>
      <c r="D377" s="46"/>
      <c r="E377" s="46"/>
      <c r="F377" s="46"/>
      <c r="G377" s="46"/>
      <c r="H377" s="46"/>
      <c r="I377" s="46"/>
      <c r="J377" s="46"/>
      <c r="K377" s="46"/>
      <c r="L377" s="51"/>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51"/>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c r="CD377" s="46"/>
      <c r="CE377" s="46"/>
      <c r="CF377" s="46"/>
      <c r="CG377" s="46"/>
      <c r="CH377" s="46"/>
      <c r="CI377" s="46"/>
      <c r="CJ377" s="46"/>
      <c r="CK377" s="46"/>
      <c r="CL377" s="46"/>
      <c r="CM377" s="46"/>
      <c r="CN377" s="46"/>
    </row>
    <row r="378">
      <c r="A378" s="46"/>
      <c r="B378" s="46"/>
      <c r="C378" s="46"/>
      <c r="D378" s="46"/>
      <c r="E378" s="46"/>
      <c r="F378" s="46"/>
      <c r="G378" s="46"/>
      <c r="H378" s="46"/>
      <c r="I378" s="46"/>
      <c r="J378" s="46"/>
      <c r="K378" s="46"/>
      <c r="L378" s="51"/>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51"/>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row>
    <row r="379">
      <c r="A379" s="46"/>
      <c r="B379" s="46"/>
      <c r="C379" s="46"/>
      <c r="D379" s="46"/>
      <c r="E379" s="46"/>
      <c r="F379" s="46"/>
      <c r="G379" s="46"/>
      <c r="H379" s="46"/>
      <c r="I379" s="46"/>
      <c r="J379" s="46"/>
      <c r="K379" s="46"/>
      <c r="L379" s="51"/>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51"/>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c r="CD379" s="46"/>
      <c r="CE379" s="46"/>
      <c r="CF379" s="46"/>
      <c r="CG379" s="46"/>
      <c r="CH379" s="46"/>
      <c r="CI379" s="46"/>
      <c r="CJ379" s="46"/>
      <c r="CK379" s="46"/>
      <c r="CL379" s="46"/>
      <c r="CM379" s="46"/>
      <c r="CN379" s="46"/>
    </row>
    <row r="380">
      <c r="A380" s="46"/>
      <c r="B380" s="46"/>
      <c r="C380" s="46"/>
      <c r="D380" s="46"/>
      <c r="E380" s="46"/>
      <c r="F380" s="46"/>
      <c r="G380" s="46"/>
      <c r="H380" s="46"/>
      <c r="I380" s="46"/>
      <c r="J380" s="46"/>
      <c r="K380" s="46"/>
      <c r="L380" s="51"/>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51"/>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46"/>
      <c r="BZ380" s="46"/>
      <c r="CA380" s="46"/>
      <c r="CB380" s="46"/>
      <c r="CC380" s="46"/>
      <c r="CD380" s="46"/>
      <c r="CE380" s="46"/>
      <c r="CF380" s="46"/>
      <c r="CG380" s="46"/>
      <c r="CH380" s="46"/>
      <c r="CI380" s="46"/>
      <c r="CJ380" s="46"/>
      <c r="CK380" s="46"/>
      <c r="CL380" s="46"/>
      <c r="CM380" s="46"/>
      <c r="CN380" s="46"/>
    </row>
    <row r="381">
      <c r="A381" s="46"/>
      <c r="B381" s="46"/>
      <c r="C381" s="46"/>
      <c r="D381" s="46"/>
      <c r="E381" s="46"/>
      <c r="F381" s="46"/>
      <c r="G381" s="46"/>
      <c r="H381" s="46"/>
      <c r="I381" s="46"/>
      <c r="J381" s="46"/>
      <c r="K381" s="46"/>
      <c r="L381" s="51"/>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51"/>
      <c r="BB381" s="46"/>
      <c r="BC381" s="46"/>
      <c r="BD381" s="46"/>
      <c r="BE381" s="46"/>
      <c r="BF381" s="46"/>
      <c r="BG381" s="46"/>
      <c r="BH381" s="46"/>
      <c r="BI381" s="46"/>
      <c r="BJ381" s="46"/>
      <c r="BK381" s="46"/>
      <c r="BL381" s="46"/>
      <c r="BM381" s="46"/>
      <c r="BN381" s="46"/>
      <c r="BO381" s="46"/>
      <c r="BP381" s="46"/>
      <c r="BQ381" s="46"/>
      <c r="BR381" s="46"/>
      <c r="BS381" s="46"/>
      <c r="BT381" s="46"/>
      <c r="BU381" s="46"/>
      <c r="BV381" s="46"/>
      <c r="BW381" s="46"/>
      <c r="BX381" s="46"/>
      <c r="BY381" s="46"/>
      <c r="BZ381" s="46"/>
      <c r="CA381" s="46"/>
      <c r="CB381" s="46"/>
      <c r="CC381" s="46"/>
      <c r="CD381" s="46"/>
      <c r="CE381" s="46"/>
      <c r="CF381" s="46"/>
      <c r="CG381" s="46"/>
      <c r="CH381" s="46"/>
      <c r="CI381" s="46"/>
      <c r="CJ381" s="46"/>
      <c r="CK381" s="46"/>
      <c r="CL381" s="46"/>
      <c r="CM381" s="46"/>
      <c r="CN381" s="46"/>
    </row>
    <row r="382">
      <c r="A382" s="46"/>
      <c r="B382" s="46"/>
      <c r="C382" s="46"/>
      <c r="D382" s="46"/>
      <c r="E382" s="46"/>
      <c r="F382" s="46"/>
      <c r="G382" s="46"/>
      <c r="H382" s="46"/>
      <c r="I382" s="46"/>
      <c r="J382" s="46"/>
      <c r="K382" s="46"/>
      <c r="L382" s="51"/>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51"/>
      <c r="BB382" s="46"/>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46"/>
      <c r="BZ382" s="46"/>
      <c r="CA382" s="46"/>
      <c r="CB382" s="46"/>
      <c r="CC382" s="46"/>
      <c r="CD382" s="46"/>
      <c r="CE382" s="46"/>
      <c r="CF382" s="46"/>
      <c r="CG382" s="46"/>
      <c r="CH382" s="46"/>
      <c r="CI382" s="46"/>
      <c r="CJ382" s="46"/>
      <c r="CK382" s="46"/>
      <c r="CL382" s="46"/>
      <c r="CM382" s="46"/>
      <c r="CN382" s="46"/>
    </row>
    <row r="383">
      <c r="A383" s="46"/>
      <c r="B383" s="46"/>
      <c r="C383" s="46"/>
      <c r="D383" s="46"/>
      <c r="E383" s="46"/>
      <c r="F383" s="46"/>
      <c r="G383" s="46"/>
      <c r="H383" s="46"/>
      <c r="I383" s="46"/>
      <c r="J383" s="46"/>
      <c r="K383" s="46"/>
      <c r="L383" s="51"/>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51"/>
      <c r="BB383" s="46"/>
      <c r="BC383" s="46"/>
      <c r="BD383" s="46"/>
      <c r="BE383" s="46"/>
      <c r="BF383" s="46"/>
      <c r="BG383" s="46"/>
      <c r="BH383" s="46"/>
      <c r="BI383" s="46"/>
      <c r="BJ383" s="46"/>
      <c r="BK383" s="46"/>
      <c r="BL383" s="46"/>
      <c r="BM383" s="46"/>
      <c r="BN383" s="46"/>
      <c r="BO383" s="46"/>
      <c r="BP383" s="46"/>
      <c r="BQ383" s="46"/>
      <c r="BR383" s="46"/>
      <c r="BS383" s="46"/>
      <c r="BT383" s="46"/>
      <c r="BU383" s="46"/>
      <c r="BV383" s="46"/>
      <c r="BW383" s="46"/>
      <c r="BX383" s="46"/>
      <c r="BY383" s="46"/>
      <c r="BZ383" s="46"/>
      <c r="CA383" s="46"/>
      <c r="CB383" s="46"/>
      <c r="CC383" s="46"/>
      <c r="CD383" s="46"/>
      <c r="CE383" s="46"/>
      <c r="CF383" s="46"/>
      <c r="CG383" s="46"/>
      <c r="CH383" s="46"/>
      <c r="CI383" s="46"/>
      <c r="CJ383" s="46"/>
      <c r="CK383" s="46"/>
      <c r="CL383" s="46"/>
      <c r="CM383" s="46"/>
      <c r="CN383" s="46"/>
    </row>
    <row r="384">
      <c r="A384" s="46"/>
      <c r="B384" s="46"/>
      <c r="C384" s="46"/>
      <c r="D384" s="46"/>
      <c r="E384" s="46"/>
      <c r="F384" s="46"/>
      <c r="G384" s="46"/>
      <c r="H384" s="46"/>
      <c r="I384" s="46"/>
      <c r="J384" s="46"/>
      <c r="K384" s="46"/>
      <c r="L384" s="51"/>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51"/>
      <c r="BB384" s="46"/>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46"/>
      <c r="BZ384" s="46"/>
      <c r="CA384" s="46"/>
      <c r="CB384" s="46"/>
      <c r="CC384" s="46"/>
      <c r="CD384" s="46"/>
      <c r="CE384" s="46"/>
      <c r="CF384" s="46"/>
      <c r="CG384" s="46"/>
      <c r="CH384" s="46"/>
      <c r="CI384" s="46"/>
      <c r="CJ384" s="46"/>
      <c r="CK384" s="46"/>
      <c r="CL384" s="46"/>
      <c r="CM384" s="46"/>
      <c r="CN384" s="46"/>
    </row>
    <row r="385">
      <c r="A385" s="46"/>
      <c r="B385" s="46"/>
      <c r="C385" s="46"/>
      <c r="D385" s="46"/>
      <c r="E385" s="46"/>
      <c r="F385" s="46"/>
      <c r="G385" s="46"/>
      <c r="H385" s="46"/>
      <c r="I385" s="46"/>
      <c r="J385" s="46"/>
      <c r="K385" s="46"/>
      <c r="L385" s="51"/>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51"/>
      <c r="BB385" s="46"/>
      <c r="BC385" s="46"/>
      <c r="BD385" s="46"/>
      <c r="BE385" s="46"/>
      <c r="BF385" s="46"/>
      <c r="BG385" s="46"/>
      <c r="BH385" s="46"/>
      <c r="BI385" s="46"/>
      <c r="BJ385" s="46"/>
      <c r="BK385" s="46"/>
      <c r="BL385" s="46"/>
      <c r="BM385" s="46"/>
      <c r="BN385" s="46"/>
      <c r="BO385" s="46"/>
      <c r="BP385" s="46"/>
      <c r="BQ385" s="46"/>
      <c r="BR385" s="46"/>
      <c r="BS385" s="46"/>
      <c r="BT385" s="46"/>
      <c r="BU385" s="46"/>
      <c r="BV385" s="46"/>
      <c r="BW385" s="46"/>
      <c r="BX385" s="46"/>
      <c r="BY385" s="46"/>
      <c r="BZ385" s="46"/>
      <c r="CA385" s="46"/>
      <c r="CB385" s="46"/>
      <c r="CC385" s="46"/>
      <c r="CD385" s="46"/>
      <c r="CE385" s="46"/>
      <c r="CF385" s="46"/>
      <c r="CG385" s="46"/>
      <c r="CH385" s="46"/>
      <c r="CI385" s="46"/>
      <c r="CJ385" s="46"/>
      <c r="CK385" s="46"/>
      <c r="CL385" s="46"/>
      <c r="CM385" s="46"/>
      <c r="CN385" s="46"/>
    </row>
    <row r="386">
      <c r="A386" s="46"/>
      <c r="B386" s="46"/>
      <c r="C386" s="46"/>
      <c r="D386" s="46"/>
      <c r="E386" s="46"/>
      <c r="F386" s="46"/>
      <c r="G386" s="46"/>
      <c r="H386" s="46"/>
      <c r="I386" s="46"/>
      <c r="J386" s="46"/>
      <c r="K386" s="46"/>
      <c r="L386" s="51"/>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51"/>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46"/>
      <c r="BZ386" s="46"/>
      <c r="CA386" s="46"/>
      <c r="CB386" s="46"/>
      <c r="CC386" s="46"/>
      <c r="CD386" s="46"/>
      <c r="CE386" s="46"/>
      <c r="CF386" s="46"/>
      <c r="CG386" s="46"/>
      <c r="CH386" s="46"/>
      <c r="CI386" s="46"/>
      <c r="CJ386" s="46"/>
      <c r="CK386" s="46"/>
      <c r="CL386" s="46"/>
      <c r="CM386" s="46"/>
      <c r="CN386" s="46"/>
    </row>
    <row r="387">
      <c r="A387" s="46"/>
      <c r="B387" s="46"/>
      <c r="C387" s="46"/>
      <c r="D387" s="46"/>
      <c r="E387" s="46"/>
      <c r="F387" s="46"/>
      <c r="G387" s="46"/>
      <c r="H387" s="46"/>
      <c r="I387" s="46"/>
      <c r="J387" s="46"/>
      <c r="K387" s="46"/>
      <c r="L387" s="51"/>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51"/>
      <c r="BB387" s="46"/>
      <c r="BC387" s="46"/>
      <c r="BD387" s="46"/>
      <c r="BE387" s="46"/>
      <c r="BF387" s="46"/>
      <c r="BG387" s="46"/>
      <c r="BH387" s="46"/>
      <c r="BI387" s="46"/>
      <c r="BJ387" s="46"/>
      <c r="BK387" s="46"/>
      <c r="BL387" s="46"/>
      <c r="BM387" s="46"/>
      <c r="BN387" s="46"/>
      <c r="BO387" s="46"/>
      <c r="BP387" s="46"/>
      <c r="BQ387" s="46"/>
      <c r="BR387" s="46"/>
      <c r="BS387" s="46"/>
      <c r="BT387" s="46"/>
      <c r="BU387" s="46"/>
      <c r="BV387" s="46"/>
      <c r="BW387" s="46"/>
      <c r="BX387" s="46"/>
      <c r="BY387" s="46"/>
      <c r="BZ387" s="46"/>
      <c r="CA387" s="46"/>
      <c r="CB387" s="46"/>
      <c r="CC387" s="46"/>
      <c r="CD387" s="46"/>
      <c r="CE387" s="46"/>
      <c r="CF387" s="46"/>
      <c r="CG387" s="46"/>
      <c r="CH387" s="46"/>
      <c r="CI387" s="46"/>
      <c r="CJ387" s="46"/>
      <c r="CK387" s="46"/>
      <c r="CL387" s="46"/>
      <c r="CM387" s="46"/>
      <c r="CN387" s="46"/>
    </row>
    <row r="388">
      <c r="A388" s="46"/>
      <c r="B388" s="46"/>
      <c r="C388" s="46"/>
      <c r="D388" s="46"/>
      <c r="E388" s="46"/>
      <c r="F388" s="46"/>
      <c r="G388" s="46"/>
      <c r="H388" s="46"/>
      <c r="I388" s="46"/>
      <c r="J388" s="46"/>
      <c r="K388" s="46"/>
      <c r="L388" s="51"/>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51"/>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c r="CD388" s="46"/>
      <c r="CE388" s="46"/>
      <c r="CF388" s="46"/>
      <c r="CG388" s="46"/>
      <c r="CH388" s="46"/>
      <c r="CI388" s="46"/>
      <c r="CJ388" s="46"/>
      <c r="CK388" s="46"/>
      <c r="CL388" s="46"/>
      <c r="CM388" s="46"/>
      <c r="CN388" s="46"/>
    </row>
    <row r="389">
      <c r="A389" s="46"/>
      <c r="B389" s="46"/>
      <c r="C389" s="46"/>
      <c r="D389" s="46"/>
      <c r="E389" s="46"/>
      <c r="F389" s="46"/>
      <c r="G389" s="46"/>
      <c r="H389" s="46"/>
      <c r="I389" s="46"/>
      <c r="J389" s="46"/>
      <c r="K389" s="46"/>
      <c r="L389" s="51"/>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51"/>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c r="CD389" s="46"/>
      <c r="CE389" s="46"/>
      <c r="CF389" s="46"/>
      <c r="CG389" s="46"/>
      <c r="CH389" s="46"/>
      <c r="CI389" s="46"/>
      <c r="CJ389" s="46"/>
      <c r="CK389" s="46"/>
      <c r="CL389" s="46"/>
      <c r="CM389" s="46"/>
      <c r="CN389" s="46"/>
    </row>
    <row r="390">
      <c r="A390" s="46"/>
      <c r="B390" s="46"/>
      <c r="C390" s="46"/>
      <c r="D390" s="46"/>
      <c r="E390" s="46"/>
      <c r="F390" s="46"/>
      <c r="G390" s="46"/>
      <c r="H390" s="46"/>
      <c r="I390" s="46"/>
      <c r="J390" s="46"/>
      <c r="K390" s="46"/>
      <c r="L390" s="51"/>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51"/>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row>
    <row r="391">
      <c r="A391" s="46"/>
      <c r="B391" s="46"/>
      <c r="C391" s="46"/>
      <c r="D391" s="46"/>
      <c r="E391" s="46"/>
      <c r="F391" s="46"/>
      <c r="G391" s="46"/>
      <c r="H391" s="46"/>
      <c r="I391" s="46"/>
      <c r="J391" s="46"/>
      <c r="K391" s="46"/>
      <c r="L391" s="51"/>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51"/>
      <c r="BB391" s="46"/>
      <c r="BC391" s="46"/>
      <c r="BD391" s="46"/>
      <c r="BE391" s="46"/>
      <c r="BF391" s="46"/>
      <c r="BG391" s="46"/>
      <c r="BH391" s="46"/>
      <c r="BI391" s="46"/>
      <c r="BJ391" s="46"/>
      <c r="BK391" s="46"/>
      <c r="BL391" s="46"/>
      <c r="BM391" s="46"/>
      <c r="BN391" s="46"/>
      <c r="BO391" s="46"/>
      <c r="BP391" s="46"/>
      <c r="BQ391" s="46"/>
      <c r="BR391" s="46"/>
      <c r="BS391" s="46"/>
      <c r="BT391" s="46"/>
      <c r="BU391" s="46"/>
      <c r="BV391" s="46"/>
      <c r="BW391" s="46"/>
      <c r="BX391" s="46"/>
      <c r="BY391" s="46"/>
      <c r="BZ391" s="46"/>
      <c r="CA391" s="46"/>
      <c r="CB391" s="46"/>
      <c r="CC391" s="46"/>
      <c r="CD391" s="46"/>
      <c r="CE391" s="46"/>
      <c r="CF391" s="46"/>
      <c r="CG391" s="46"/>
      <c r="CH391" s="46"/>
      <c r="CI391" s="46"/>
      <c r="CJ391" s="46"/>
      <c r="CK391" s="46"/>
      <c r="CL391" s="46"/>
      <c r="CM391" s="46"/>
      <c r="CN391" s="46"/>
    </row>
    <row r="392">
      <c r="A392" s="46"/>
      <c r="B392" s="46"/>
      <c r="C392" s="46"/>
      <c r="D392" s="46"/>
      <c r="E392" s="46"/>
      <c r="F392" s="46"/>
      <c r="G392" s="46"/>
      <c r="H392" s="46"/>
      <c r="I392" s="46"/>
      <c r="J392" s="46"/>
      <c r="K392" s="46"/>
      <c r="L392" s="51"/>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51"/>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row>
    <row r="393">
      <c r="A393" s="46"/>
      <c r="B393" s="46"/>
      <c r="C393" s="46"/>
      <c r="D393" s="46"/>
      <c r="E393" s="46"/>
      <c r="F393" s="46"/>
      <c r="G393" s="46"/>
      <c r="H393" s="46"/>
      <c r="I393" s="46"/>
      <c r="J393" s="46"/>
      <c r="K393" s="46"/>
      <c r="L393" s="51"/>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51"/>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c r="CD393" s="46"/>
      <c r="CE393" s="46"/>
      <c r="CF393" s="46"/>
      <c r="CG393" s="46"/>
      <c r="CH393" s="46"/>
      <c r="CI393" s="46"/>
      <c r="CJ393" s="46"/>
      <c r="CK393" s="46"/>
      <c r="CL393" s="46"/>
      <c r="CM393" s="46"/>
      <c r="CN393" s="46"/>
    </row>
    <row r="394">
      <c r="A394" s="46"/>
      <c r="B394" s="46"/>
      <c r="C394" s="46"/>
      <c r="D394" s="46"/>
      <c r="E394" s="46"/>
      <c r="F394" s="46"/>
      <c r="G394" s="46"/>
      <c r="H394" s="46"/>
      <c r="I394" s="46"/>
      <c r="J394" s="46"/>
      <c r="K394" s="46"/>
      <c r="L394" s="51"/>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51"/>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row>
    <row r="395">
      <c r="A395" s="46"/>
      <c r="B395" s="46"/>
      <c r="C395" s="46"/>
      <c r="D395" s="46"/>
      <c r="E395" s="46"/>
      <c r="F395" s="46"/>
      <c r="G395" s="46"/>
      <c r="H395" s="46"/>
      <c r="I395" s="46"/>
      <c r="J395" s="46"/>
      <c r="K395" s="46"/>
      <c r="L395" s="51"/>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51"/>
      <c r="BB395" s="46"/>
      <c r="BC395" s="46"/>
      <c r="BD395" s="46"/>
      <c r="BE395" s="46"/>
      <c r="BF395" s="46"/>
      <c r="BG395" s="46"/>
      <c r="BH395" s="46"/>
      <c r="BI395" s="46"/>
      <c r="BJ395" s="46"/>
      <c r="BK395" s="46"/>
      <c r="BL395" s="46"/>
      <c r="BM395" s="46"/>
      <c r="BN395" s="46"/>
      <c r="BO395" s="46"/>
      <c r="BP395" s="46"/>
      <c r="BQ395" s="46"/>
      <c r="BR395" s="46"/>
      <c r="BS395" s="46"/>
      <c r="BT395" s="46"/>
      <c r="BU395" s="46"/>
      <c r="BV395" s="46"/>
      <c r="BW395" s="46"/>
      <c r="BX395" s="46"/>
      <c r="BY395" s="46"/>
      <c r="BZ395" s="46"/>
      <c r="CA395" s="46"/>
      <c r="CB395" s="46"/>
      <c r="CC395" s="46"/>
      <c r="CD395" s="46"/>
      <c r="CE395" s="46"/>
      <c r="CF395" s="46"/>
      <c r="CG395" s="46"/>
      <c r="CH395" s="46"/>
      <c r="CI395" s="46"/>
      <c r="CJ395" s="46"/>
      <c r="CK395" s="46"/>
      <c r="CL395" s="46"/>
      <c r="CM395" s="46"/>
      <c r="CN395" s="46"/>
    </row>
    <row r="396">
      <c r="A396" s="46"/>
      <c r="B396" s="46"/>
      <c r="C396" s="46"/>
      <c r="D396" s="46"/>
      <c r="E396" s="46"/>
      <c r="F396" s="46"/>
      <c r="G396" s="46"/>
      <c r="H396" s="46"/>
      <c r="I396" s="46"/>
      <c r="J396" s="46"/>
      <c r="K396" s="46"/>
      <c r="L396" s="51"/>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51"/>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row>
    <row r="397">
      <c r="A397" s="46"/>
      <c r="B397" s="46"/>
      <c r="C397" s="46"/>
      <c r="D397" s="46"/>
      <c r="E397" s="46"/>
      <c r="F397" s="46"/>
      <c r="G397" s="46"/>
      <c r="H397" s="46"/>
      <c r="I397" s="46"/>
      <c r="J397" s="46"/>
      <c r="K397" s="46"/>
      <c r="L397" s="51"/>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51"/>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c r="CD397" s="46"/>
      <c r="CE397" s="46"/>
      <c r="CF397" s="46"/>
      <c r="CG397" s="46"/>
      <c r="CH397" s="46"/>
      <c r="CI397" s="46"/>
      <c r="CJ397" s="46"/>
      <c r="CK397" s="46"/>
      <c r="CL397" s="46"/>
      <c r="CM397" s="46"/>
      <c r="CN397" s="46"/>
    </row>
    <row r="398">
      <c r="A398" s="46"/>
      <c r="B398" s="46"/>
      <c r="C398" s="46"/>
      <c r="D398" s="46"/>
      <c r="E398" s="46"/>
      <c r="F398" s="46"/>
      <c r="G398" s="46"/>
      <c r="H398" s="46"/>
      <c r="I398" s="46"/>
      <c r="J398" s="46"/>
      <c r="K398" s="46"/>
      <c r="L398" s="51"/>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51"/>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row>
    <row r="399">
      <c r="A399" s="46"/>
      <c r="B399" s="46"/>
      <c r="C399" s="46"/>
      <c r="D399" s="46"/>
      <c r="E399" s="46"/>
      <c r="F399" s="46"/>
      <c r="G399" s="46"/>
      <c r="H399" s="46"/>
      <c r="I399" s="46"/>
      <c r="J399" s="46"/>
      <c r="K399" s="46"/>
      <c r="L399" s="51"/>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51"/>
      <c r="BB399" s="46"/>
      <c r="BC399" s="46"/>
      <c r="BD399" s="46"/>
      <c r="BE399" s="46"/>
      <c r="BF399" s="46"/>
      <c r="BG399" s="46"/>
      <c r="BH399" s="46"/>
      <c r="BI399" s="46"/>
      <c r="BJ399" s="46"/>
      <c r="BK399" s="46"/>
      <c r="BL399" s="46"/>
      <c r="BM399" s="46"/>
      <c r="BN399" s="46"/>
      <c r="BO399" s="46"/>
      <c r="BP399" s="46"/>
      <c r="BQ399" s="46"/>
      <c r="BR399" s="46"/>
      <c r="BS399" s="46"/>
      <c r="BT399" s="46"/>
      <c r="BU399" s="46"/>
      <c r="BV399" s="46"/>
      <c r="BW399" s="46"/>
      <c r="BX399" s="46"/>
      <c r="BY399" s="46"/>
      <c r="BZ399" s="46"/>
      <c r="CA399" s="46"/>
      <c r="CB399" s="46"/>
      <c r="CC399" s="46"/>
      <c r="CD399" s="46"/>
      <c r="CE399" s="46"/>
      <c r="CF399" s="46"/>
      <c r="CG399" s="46"/>
      <c r="CH399" s="46"/>
      <c r="CI399" s="46"/>
      <c r="CJ399" s="46"/>
      <c r="CK399" s="46"/>
      <c r="CL399" s="46"/>
      <c r="CM399" s="46"/>
      <c r="CN399" s="46"/>
    </row>
    <row r="400">
      <c r="A400" s="46"/>
      <c r="B400" s="46"/>
      <c r="C400" s="46"/>
      <c r="D400" s="46"/>
      <c r="E400" s="46"/>
      <c r="F400" s="46"/>
      <c r="G400" s="46"/>
      <c r="H400" s="46"/>
      <c r="I400" s="46"/>
      <c r="J400" s="46"/>
      <c r="K400" s="46"/>
      <c r="L400" s="51"/>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51"/>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row>
    <row r="401">
      <c r="A401" s="46"/>
      <c r="B401" s="46"/>
      <c r="C401" s="46"/>
      <c r="D401" s="46"/>
      <c r="E401" s="46"/>
      <c r="F401" s="46"/>
      <c r="G401" s="46"/>
      <c r="H401" s="46"/>
      <c r="I401" s="46"/>
      <c r="J401" s="46"/>
      <c r="K401" s="46"/>
      <c r="L401" s="51"/>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51"/>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c r="CD401" s="46"/>
      <c r="CE401" s="46"/>
      <c r="CF401" s="46"/>
      <c r="CG401" s="46"/>
      <c r="CH401" s="46"/>
      <c r="CI401" s="46"/>
      <c r="CJ401" s="46"/>
      <c r="CK401" s="46"/>
      <c r="CL401" s="46"/>
      <c r="CM401" s="46"/>
      <c r="CN401" s="46"/>
    </row>
    <row r="402">
      <c r="A402" s="46"/>
      <c r="B402" s="46"/>
      <c r="C402" s="46"/>
      <c r="D402" s="46"/>
      <c r="E402" s="46"/>
      <c r="F402" s="46"/>
      <c r="G402" s="46"/>
      <c r="H402" s="46"/>
      <c r="I402" s="46"/>
      <c r="J402" s="46"/>
      <c r="K402" s="46"/>
      <c r="L402" s="51"/>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51"/>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row>
    <row r="403">
      <c r="A403" s="46"/>
      <c r="B403" s="46"/>
      <c r="C403" s="46"/>
      <c r="D403" s="46"/>
      <c r="E403" s="46"/>
      <c r="F403" s="46"/>
      <c r="G403" s="46"/>
      <c r="H403" s="46"/>
      <c r="I403" s="46"/>
      <c r="J403" s="46"/>
      <c r="K403" s="46"/>
      <c r="L403" s="51"/>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51"/>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c r="CD403" s="46"/>
      <c r="CE403" s="46"/>
      <c r="CF403" s="46"/>
      <c r="CG403" s="46"/>
      <c r="CH403" s="46"/>
      <c r="CI403" s="46"/>
      <c r="CJ403" s="46"/>
      <c r="CK403" s="46"/>
      <c r="CL403" s="46"/>
      <c r="CM403" s="46"/>
      <c r="CN403" s="46"/>
    </row>
    <row r="404">
      <c r="A404" s="46"/>
      <c r="B404" s="46"/>
      <c r="C404" s="46"/>
      <c r="D404" s="46"/>
      <c r="E404" s="46"/>
      <c r="F404" s="46"/>
      <c r="G404" s="46"/>
      <c r="H404" s="46"/>
      <c r="I404" s="46"/>
      <c r="J404" s="46"/>
      <c r="K404" s="46"/>
      <c r="L404" s="51"/>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51"/>
      <c r="BB404" s="46"/>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46"/>
      <c r="BZ404" s="46"/>
      <c r="CA404" s="46"/>
      <c r="CB404" s="46"/>
      <c r="CC404" s="46"/>
      <c r="CD404" s="46"/>
      <c r="CE404" s="46"/>
      <c r="CF404" s="46"/>
      <c r="CG404" s="46"/>
      <c r="CH404" s="46"/>
      <c r="CI404" s="46"/>
      <c r="CJ404" s="46"/>
      <c r="CK404" s="46"/>
      <c r="CL404" s="46"/>
      <c r="CM404" s="46"/>
      <c r="CN404" s="46"/>
    </row>
    <row r="405">
      <c r="A405" s="46"/>
      <c r="B405" s="46"/>
      <c r="C405" s="46"/>
      <c r="D405" s="46"/>
      <c r="E405" s="46"/>
      <c r="F405" s="46"/>
      <c r="G405" s="46"/>
      <c r="H405" s="46"/>
      <c r="I405" s="46"/>
      <c r="J405" s="46"/>
      <c r="K405" s="46"/>
      <c r="L405" s="51"/>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51"/>
      <c r="BB405" s="46"/>
      <c r="BC405" s="46"/>
      <c r="BD405" s="46"/>
      <c r="BE405" s="46"/>
      <c r="BF405" s="46"/>
      <c r="BG405" s="46"/>
      <c r="BH405" s="46"/>
      <c r="BI405" s="46"/>
      <c r="BJ405" s="46"/>
      <c r="BK405" s="46"/>
      <c r="BL405" s="46"/>
      <c r="BM405" s="46"/>
      <c r="BN405" s="46"/>
      <c r="BO405" s="46"/>
      <c r="BP405" s="46"/>
      <c r="BQ405" s="46"/>
      <c r="BR405" s="46"/>
      <c r="BS405" s="46"/>
      <c r="BT405" s="46"/>
      <c r="BU405" s="46"/>
      <c r="BV405" s="46"/>
      <c r="BW405" s="46"/>
      <c r="BX405" s="46"/>
      <c r="BY405" s="46"/>
      <c r="BZ405" s="46"/>
      <c r="CA405" s="46"/>
      <c r="CB405" s="46"/>
      <c r="CC405" s="46"/>
      <c r="CD405" s="46"/>
      <c r="CE405" s="46"/>
      <c r="CF405" s="46"/>
      <c r="CG405" s="46"/>
      <c r="CH405" s="46"/>
      <c r="CI405" s="46"/>
      <c r="CJ405" s="46"/>
      <c r="CK405" s="46"/>
      <c r="CL405" s="46"/>
      <c r="CM405" s="46"/>
      <c r="CN405" s="46"/>
    </row>
    <row r="406">
      <c r="A406" s="46"/>
      <c r="B406" s="46"/>
      <c r="C406" s="46"/>
      <c r="D406" s="46"/>
      <c r="E406" s="46"/>
      <c r="F406" s="46"/>
      <c r="G406" s="46"/>
      <c r="H406" s="46"/>
      <c r="I406" s="46"/>
      <c r="J406" s="46"/>
      <c r="K406" s="46"/>
      <c r="L406" s="51"/>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51"/>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row>
    <row r="407">
      <c r="A407" s="46"/>
      <c r="B407" s="46"/>
      <c r="C407" s="46"/>
      <c r="D407" s="46"/>
      <c r="E407" s="46"/>
      <c r="F407" s="46"/>
      <c r="G407" s="46"/>
      <c r="H407" s="46"/>
      <c r="I407" s="46"/>
      <c r="J407" s="46"/>
      <c r="K407" s="46"/>
      <c r="L407" s="51"/>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51"/>
      <c r="BB407" s="46"/>
      <c r="BC407" s="46"/>
      <c r="BD407" s="46"/>
      <c r="BE407" s="46"/>
      <c r="BF407" s="46"/>
      <c r="BG407" s="46"/>
      <c r="BH407" s="46"/>
      <c r="BI407" s="46"/>
      <c r="BJ407" s="46"/>
      <c r="BK407" s="46"/>
      <c r="BL407" s="46"/>
      <c r="BM407" s="46"/>
      <c r="BN407" s="46"/>
      <c r="BO407" s="46"/>
      <c r="BP407" s="46"/>
      <c r="BQ407" s="46"/>
      <c r="BR407" s="46"/>
      <c r="BS407" s="46"/>
      <c r="BT407" s="46"/>
      <c r="BU407" s="46"/>
      <c r="BV407" s="46"/>
      <c r="BW407" s="46"/>
      <c r="BX407" s="46"/>
      <c r="BY407" s="46"/>
      <c r="BZ407" s="46"/>
      <c r="CA407" s="46"/>
      <c r="CB407" s="46"/>
      <c r="CC407" s="46"/>
      <c r="CD407" s="46"/>
      <c r="CE407" s="46"/>
      <c r="CF407" s="46"/>
      <c r="CG407" s="46"/>
      <c r="CH407" s="46"/>
      <c r="CI407" s="46"/>
      <c r="CJ407" s="46"/>
      <c r="CK407" s="46"/>
      <c r="CL407" s="46"/>
      <c r="CM407" s="46"/>
      <c r="CN407" s="46"/>
    </row>
    <row r="408">
      <c r="A408" s="46"/>
      <c r="B408" s="46"/>
      <c r="C408" s="46"/>
      <c r="D408" s="46"/>
      <c r="E408" s="46"/>
      <c r="F408" s="46"/>
      <c r="G408" s="46"/>
      <c r="H408" s="46"/>
      <c r="I408" s="46"/>
      <c r="J408" s="46"/>
      <c r="K408" s="46"/>
      <c r="L408" s="51"/>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51"/>
      <c r="BB408" s="46"/>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46"/>
      <c r="BZ408" s="46"/>
      <c r="CA408" s="46"/>
      <c r="CB408" s="46"/>
      <c r="CC408" s="46"/>
      <c r="CD408" s="46"/>
      <c r="CE408" s="46"/>
      <c r="CF408" s="46"/>
      <c r="CG408" s="46"/>
      <c r="CH408" s="46"/>
      <c r="CI408" s="46"/>
      <c r="CJ408" s="46"/>
      <c r="CK408" s="46"/>
      <c r="CL408" s="46"/>
      <c r="CM408" s="46"/>
      <c r="CN408" s="46"/>
    </row>
    <row r="409">
      <c r="A409" s="46"/>
      <c r="B409" s="46"/>
      <c r="C409" s="46"/>
      <c r="D409" s="46"/>
      <c r="E409" s="46"/>
      <c r="F409" s="46"/>
      <c r="G409" s="46"/>
      <c r="H409" s="46"/>
      <c r="I409" s="46"/>
      <c r="J409" s="46"/>
      <c r="K409" s="46"/>
      <c r="L409" s="51"/>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51"/>
      <c r="BB409" s="46"/>
      <c r="BC409" s="46"/>
      <c r="BD409" s="46"/>
      <c r="BE409" s="46"/>
      <c r="BF409" s="46"/>
      <c r="BG409" s="46"/>
      <c r="BH409" s="46"/>
      <c r="BI409" s="46"/>
      <c r="BJ409" s="46"/>
      <c r="BK409" s="46"/>
      <c r="BL409" s="46"/>
      <c r="BM409" s="46"/>
      <c r="BN409" s="46"/>
      <c r="BO409" s="46"/>
      <c r="BP409" s="46"/>
      <c r="BQ409" s="46"/>
      <c r="BR409" s="46"/>
      <c r="BS409" s="46"/>
      <c r="BT409" s="46"/>
      <c r="BU409" s="46"/>
      <c r="BV409" s="46"/>
      <c r="BW409" s="46"/>
      <c r="BX409" s="46"/>
      <c r="BY409" s="46"/>
      <c r="BZ409" s="46"/>
      <c r="CA409" s="46"/>
      <c r="CB409" s="46"/>
      <c r="CC409" s="46"/>
      <c r="CD409" s="46"/>
      <c r="CE409" s="46"/>
      <c r="CF409" s="46"/>
      <c r="CG409" s="46"/>
      <c r="CH409" s="46"/>
      <c r="CI409" s="46"/>
      <c r="CJ409" s="46"/>
      <c r="CK409" s="46"/>
      <c r="CL409" s="46"/>
      <c r="CM409" s="46"/>
      <c r="CN409" s="46"/>
    </row>
    <row r="410">
      <c r="A410" s="46"/>
      <c r="B410" s="46"/>
      <c r="C410" s="46"/>
      <c r="D410" s="46"/>
      <c r="E410" s="46"/>
      <c r="F410" s="46"/>
      <c r="G410" s="46"/>
      <c r="H410" s="46"/>
      <c r="I410" s="46"/>
      <c r="J410" s="46"/>
      <c r="K410" s="46"/>
      <c r="L410" s="51"/>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51"/>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c r="CD410" s="46"/>
      <c r="CE410" s="46"/>
      <c r="CF410" s="46"/>
      <c r="CG410" s="46"/>
      <c r="CH410" s="46"/>
      <c r="CI410" s="46"/>
      <c r="CJ410" s="46"/>
      <c r="CK410" s="46"/>
      <c r="CL410" s="46"/>
      <c r="CM410" s="46"/>
      <c r="CN410" s="46"/>
    </row>
    <row r="411">
      <c r="A411" s="46"/>
      <c r="B411" s="46"/>
      <c r="C411" s="46"/>
      <c r="D411" s="46"/>
      <c r="E411" s="46"/>
      <c r="F411" s="46"/>
      <c r="G411" s="46"/>
      <c r="H411" s="46"/>
      <c r="I411" s="46"/>
      <c r="J411" s="46"/>
      <c r="K411" s="46"/>
      <c r="L411" s="51"/>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51"/>
      <c r="BB411" s="46"/>
      <c r="BC411" s="46"/>
      <c r="BD411" s="46"/>
      <c r="BE411" s="46"/>
      <c r="BF411" s="46"/>
      <c r="BG411" s="46"/>
      <c r="BH411" s="46"/>
      <c r="BI411" s="46"/>
      <c r="BJ411" s="46"/>
      <c r="BK411" s="46"/>
      <c r="BL411" s="46"/>
      <c r="BM411" s="46"/>
      <c r="BN411" s="46"/>
      <c r="BO411" s="46"/>
      <c r="BP411" s="46"/>
      <c r="BQ411" s="46"/>
      <c r="BR411" s="46"/>
      <c r="BS411" s="46"/>
      <c r="BT411" s="46"/>
      <c r="BU411" s="46"/>
      <c r="BV411" s="46"/>
      <c r="BW411" s="46"/>
      <c r="BX411" s="46"/>
      <c r="BY411" s="46"/>
      <c r="BZ411" s="46"/>
      <c r="CA411" s="46"/>
      <c r="CB411" s="46"/>
      <c r="CC411" s="46"/>
      <c r="CD411" s="46"/>
      <c r="CE411" s="46"/>
      <c r="CF411" s="46"/>
      <c r="CG411" s="46"/>
      <c r="CH411" s="46"/>
      <c r="CI411" s="46"/>
      <c r="CJ411" s="46"/>
      <c r="CK411" s="46"/>
      <c r="CL411" s="46"/>
      <c r="CM411" s="46"/>
      <c r="CN411" s="46"/>
    </row>
    <row r="412">
      <c r="A412" s="46"/>
      <c r="B412" s="46"/>
      <c r="C412" s="46"/>
      <c r="D412" s="46"/>
      <c r="E412" s="46"/>
      <c r="F412" s="46"/>
      <c r="G412" s="46"/>
      <c r="H412" s="46"/>
      <c r="I412" s="46"/>
      <c r="J412" s="46"/>
      <c r="K412" s="46"/>
      <c r="L412" s="51"/>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51"/>
      <c r="BB412" s="46"/>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c r="CD412" s="46"/>
      <c r="CE412" s="46"/>
      <c r="CF412" s="46"/>
      <c r="CG412" s="46"/>
      <c r="CH412" s="46"/>
      <c r="CI412" s="46"/>
      <c r="CJ412" s="46"/>
      <c r="CK412" s="46"/>
      <c r="CL412" s="46"/>
      <c r="CM412" s="46"/>
      <c r="CN412" s="46"/>
    </row>
    <row r="413">
      <c r="A413" s="46"/>
      <c r="B413" s="46"/>
      <c r="C413" s="46"/>
      <c r="D413" s="46"/>
      <c r="E413" s="46"/>
      <c r="F413" s="46"/>
      <c r="G413" s="46"/>
      <c r="H413" s="46"/>
      <c r="I413" s="46"/>
      <c r="J413" s="46"/>
      <c r="K413" s="46"/>
      <c r="L413" s="51"/>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51"/>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6"/>
      <c r="BY413" s="46"/>
      <c r="BZ413" s="46"/>
      <c r="CA413" s="46"/>
      <c r="CB413" s="46"/>
      <c r="CC413" s="46"/>
      <c r="CD413" s="46"/>
      <c r="CE413" s="46"/>
      <c r="CF413" s="46"/>
      <c r="CG413" s="46"/>
      <c r="CH413" s="46"/>
      <c r="CI413" s="46"/>
      <c r="CJ413" s="46"/>
      <c r="CK413" s="46"/>
      <c r="CL413" s="46"/>
      <c r="CM413" s="46"/>
      <c r="CN413" s="46"/>
    </row>
    <row r="414">
      <c r="A414" s="46"/>
      <c r="B414" s="46"/>
      <c r="C414" s="46"/>
      <c r="D414" s="46"/>
      <c r="E414" s="46"/>
      <c r="F414" s="46"/>
      <c r="G414" s="46"/>
      <c r="H414" s="46"/>
      <c r="I414" s="46"/>
      <c r="J414" s="46"/>
      <c r="K414" s="46"/>
      <c r="L414" s="51"/>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51"/>
      <c r="BB414" s="46"/>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c r="CD414" s="46"/>
      <c r="CE414" s="46"/>
      <c r="CF414" s="46"/>
      <c r="CG414" s="46"/>
      <c r="CH414" s="46"/>
      <c r="CI414" s="46"/>
      <c r="CJ414" s="46"/>
      <c r="CK414" s="46"/>
      <c r="CL414" s="46"/>
      <c r="CM414" s="46"/>
      <c r="CN414" s="46"/>
    </row>
    <row r="415">
      <c r="A415" s="46"/>
      <c r="B415" s="46"/>
      <c r="C415" s="46"/>
      <c r="D415" s="46"/>
      <c r="E415" s="46"/>
      <c r="F415" s="46"/>
      <c r="G415" s="46"/>
      <c r="H415" s="46"/>
      <c r="I415" s="46"/>
      <c r="J415" s="46"/>
      <c r="K415" s="46"/>
      <c r="L415" s="51"/>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51"/>
      <c r="BB415" s="46"/>
      <c r="BC415" s="46"/>
      <c r="BD415" s="46"/>
      <c r="BE415" s="46"/>
      <c r="BF415" s="46"/>
      <c r="BG415" s="46"/>
      <c r="BH415" s="46"/>
      <c r="BI415" s="46"/>
      <c r="BJ415" s="46"/>
      <c r="BK415" s="46"/>
      <c r="BL415" s="46"/>
      <c r="BM415" s="46"/>
      <c r="BN415" s="46"/>
      <c r="BO415" s="46"/>
      <c r="BP415" s="46"/>
      <c r="BQ415" s="46"/>
      <c r="BR415" s="46"/>
      <c r="BS415" s="46"/>
      <c r="BT415" s="46"/>
      <c r="BU415" s="46"/>
      <c r="BV415" s="46"/>
      <c r="BW415" s="46"/>
      <c r="BX415" s="46"/>
      <c r="BY415" s="46"/>
      <c r="BZ415" s="46"/>
      <c r="CA415" s="46"/>
      <c r="CB415" s="46"/>
      <c r="CC415" s="46"/>
      <c r="CD415" s="46"/>
      <c r="CE415" s="46"/>
      <c r="CF415" s="46"/>
      <c r="CG415" s="46"/>
      <c r="CH415" s="46"/>
      <c r="CI415" s="46"/>
      <c r="CJ415" s="46"/>
      <c r="CK415" s="46"/>
      <c r="CL415" s="46"/>
      <c r="CM415" s="46"/>
      <c r="CN415" s="46"/>
    </row>
    <row r="416">
      <c r="A416" s="46"/>
      <c r="B416" s="46"/>
      <c r="C416" s="46"/>
      <c r="D416" s="46"/>
      <c r="E416" s="46"/>
      <c r="F416" s="46"/>
      <c r="G416" s="46"/>
      <c r="H416" s="46"/>
      <c r="I416" s="46"/>
      <c r="J416" s="46"/>
      <c r="K416" s="46"/>
      <c r="L416" s="51"/>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51"/>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row>
    <row r="417">
      <c r="A417" s="46"/>
      <c r="B417" s="46"/>
      <c r="C417" s="46"/>
      <c r="D417" s="46"/>
      <c r="E417" s="46"/>
      <c r="F417" s="46"/>
      <c r="G417" s="46"/>
      <c r="H417" s="46"/>
      <c r="I417" s="46"/>
      <c r="J417" s="46"/>
      <c r="K417" s="46"/>
      <c r="L417" s="51"/>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51"/>
      <c r="BB417" s="46"/>
      <c r="BC417" s="46"/>
      <c r="BD417" s="46"/>
      <c r="BE417" s="46"/>
      <c r="BF417" s="46"/>
      <c r="BG417" s="46"/>
      <c r="BH417" s="46"/>
      <c r="BI417" s="46"/>
      <c r="BJ417" s="46"/>
      <c r="BK417" s="46"/>
      <c r="BL417" s="46"/>
      <c r="BM417" s="46"/>
      <c r="BN417" s="46"/>
      <c r="BO417" s="46"/>
      <c r="BP417" s="46"/>
      <c r="BQ417" s="46"/>
      <c r="BR417" s="46"/>
      <c r="BS417" s="46"/>
      <c r="BT417" s="46"/>
      <c r="BU417" s="46"/>
      <c r="BV417" s="46"/>
      <c r="BW417" s="46"/>
      <c r="BX417" s="46"/>
      <c r="BY417" s="46"/>
      <c r="BZ417" s="46"/>
      <c r="CA417" s="46"/>
      <c r="CB417" s="46"/>
      <c r="CC417" s="46"/>
      <c r="CD417" s="46"/>
      <c r="CE417" s="46"/>
      <c r="CF417" s="46"/>
      <c r="CG417" s="46"/>
      <c r="CH417" s="46"/>
      <c r="CI417" s="46"/>
      <c r="CJ417" s="46"/>
      <c r="CK417" s="46"/>
      <c r="CL417" s="46"/>
      <c r="CM417" s="46"/>
      <c r="CN417" s="46"/>
    </row>
    <row r="418">
      <c r="A418" s="46"/>
      <c r="B418" s="46"/>
      <c r="C418" s="46"/>
      <c r="D418" s="46"/>
      <c r="E418" s="46"/>
      <c r="F418" s="46"/>
      <c r="G418" s="46"/>
      <c r="H418" s="46"/>
      <c r="I418" s="46"/>
      <c r="J418" s="46"/>
      <c r="K418" s="46"/>
      <c r="L418" s="51"/>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51"/>
      <c r="BB418" s="46"/>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46"/>
      <c r="BZ418" s="46"/>
      <c r="CA418" s="46"/>
      <c r="CB418" s="46"/>
      <c r="CC418" s="46"/>
      <c r="CD418" s="46"/>
      <c r="CE418" s="46"/>
      <c r="CF418" s="46"/>
      <c r="CG418" s="46"/>
      <c r="CH418" s="46"/>
      <c r="CI418" s="46"/>
      <c r="CJ418" s="46"/>
      <c r="CK418" s="46"/>
      <c r="CL418" s="46"/>
      <c r="CM418" s="46"/>
      <c r="CN418" s="46"/>
    </row>
    <row r="419">
      <c r="A419" s="46"/>
      <c r="B419" s="46"/>
      <c r="C419" s="46"/>
      <c r="D419" s="46"/>
      <c r="E419" s="46"/>
      <c r="F419" s="46"/>
      <c r="G419" s="46"/>
      <c r="H419" s="46"/>
      <c r="I419" s="46"/>
      <c r="J419" s="46"/>
      <c r="K419" s="46"/>
      <c r="L419" s="51"/>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51"/>
      <c r="BB419" s="46"/>
      <c r="BC419" s="46"/>
      <c r="BD419" s="46"/>
      <c r="BE419" s="46"/>
      <c r="BF419" s="46"/>
      <c r="BG419" s="46"/>
      <c r="BH419" s="46"/>
      <c r="BI419" s="46"/>
      <c r="BJ419" s="46"/>
      <c r="BK419" s="46"/>
      <c r="BL419" s="46"/>
      <c r="BM419" s="46"/>
      <c r="BN419" s="46"/>
      <c r="BO419" s="46"/>
      <c r="BP419" s="46"/>
      <c r="BQ419" s="46"/>
      <c r="BR419" s="46"/>
      <c r="BS419" s="46"/>
      <c r="BT419" s="46"/>
      <c r="BU419" s="46"/>
      <c r="BV419" s="46"/>
      <c r="BW419" s="46"/>
      <c r="BX419" s="46"/>
      <c r="BY419" s="46"/>
      <c r="BZ419" s="46"/>
      <c r="CA419" s="46"/>
      <c r="CB419" s="46"/>
      <c r="CC419" s="46"/>
      <c r="CD419" s="46"/>
      <c r="CE419" s="46"/>
      <c r="CF419" s="46"/>
      <c r="CG419" s="46"/>
      <c r="CH419" s="46"/>
      <c r="CI419" s="46"/>
      <c r="CJ419" s="46"/>
      <c r="CK419" s="46"/>
      <c r="CL419" s="46"/>
      <c r="CM419" s="46"/>
      <c r="CN419" s="46"/>
    </row>
    <row r="420">
      <c r="A420" s="46"/>
      <c r="B420" s="46"/>
      <c r="C420" s="46"/>
      <c r="D420" s="46"/>
      <c r="E420" s="46"/>
      <c r="F420" s="46"/>
      <c r="G420" s="46"/>
      <c r="H420" s="46"/>
      <c r="I420" s="46"/>
      <c r="J420" s="46"/>
      <c r="K420" s="46"/>
      <c r="L420" s="51"/>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51"/>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c r="CD420" s="46"/>
      <c r="CE420" s="46"/>
      <c r="CF420" s="46"/>
      <c r="CG420" s="46"/>
      <c r="CH420" s="46"/>
      <c r="CI420" s="46"/>
      <c r="CJ420" s="46"/>
      <c r="CK420" s="46"/>
      <c r="CL420" s="46"/>
      <c r="CM420" s="46"/>
      <c r="CN420" s="46"/>
    </row>
    <row r="421">
      <c r="A421" s="46"/>
      <c r="B421" s="46"/>
      <c r="C421" s="46"/>
      <c r="D421" s="46"/>
      <c r="E421" s="46"/>
      <c r="F421" s="46"/>
      <c r="G421" s="46"/>
      <c r="H421" s="46"/>
      <c r="I421" s="46"/>
      <c r="J421" s="46"/>
      <c r="K421" s="46"/>
      <c r="L421" s="51"/>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51"/>
      <c r="BB421" s="46"/>
      <c r="BC421" s="46"/>
      <c r="BD421" s="46"/>
      <c r="BE421" s="46"/>
      <c r="BF421" s="46"/>
      <c r="BG421" s="46"/>
      <c r="BH421" s="46"/>
      <c r="BI421" s="46"/>
      <c r="BJ421" s="46"/>
      <c r="BK421" s="46"/>
      <c r="BL421" s="46"/>
      <c r="BM421" s="46"/>
      <c r="BN421" s="46"/>
      <c r="BO421" s="46"/>
      <c r="BP421" s="46"/>
      <c r="BQ421" s="46"/>
      <c r="BR421" s="46"/>
      <c r="BS421" s="46"/>
      <c r="BT421" s="46"/>
      <c r="BU421" s="46"/>
      <c r="BV421" s="46"/>
      <c r="BW421" s="46"/>
      <c r="BX421" s="46"/>
      <c r="BY421" s="46"/>
      <c r="BZ421" s="46"/>
      <c r="CA421" s="46"/>
      <c r="CB421" s="46"/>
      <c r="CC421" s="46"/>
      <c r="CD421" s="46"/>
      <c r="CE421" s="46"/>
      <c r="CF421" s="46"/>
      <c r="CG421" s="46"/>
      <c r="CH421" s="46"/>
      <c r="CI421" s="46"/>
      <c r="CJ421" s="46"/>
      <c r="CK421" s="46"/>
      <c r="CL421" s="46"/>
      <c r="CM421" s="46"/>
      <c r="CN421" s="46"/>
    </row>
    <row r="422">
      <c r="A422" s="46"/>
      <c r="B422" s="46"/>
      <c r="C422" s="46"/>
      <c r="D422" s="46"/>
      <c r="E422" s="46"/>
      <c r="F422" s="46"/>
      <c r="G422" s="46"/>
      <c r="H422" s="46"/>
      <c r="I422" s="46"/>
      <c r="J422" s="46"/>
      <c r="K422" s="46"/>
      <c r="L422" s="51"/>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51"/>
      <c r="BB422" s="46"/>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46"/>
      <c r="BZ422" s="46"/>
      <c r="CA422" s="46"/>
      <c r="CB422" s="46"/>
      <c r="CC422" s="46"/>
      <c r="CD422" s="46"/>
      <c r="CE422" s="46"/>
      <c r="CF422" s="46"/>
      <c r="CG422" s="46"/>
      <c r="CH422" s="46"/>
      <c r="CI422" s="46"/>
      <c r="CJ422" s="46"/>
      <c r="CK422" s="46"/>
      <c r="CL422" s="46"/>
      <c r="CM422" s="46"/>
      <c r="CN422" s="46"/>
    </row>
    <row r="423">
      <c r="A423" s="46"/>
      <c r="B423" s="46"/>
      <c r="C423" s="46"/>
      <c r="D423" s="46"/>
      <c r="E423" s="46"/>
      <c r="F423" s="46"/>
      <c r="G423" s="46"/>
      <c r="H423" s="46"/>
      <c r="I423" s="46"/>
      <c r="J423" s="46"/>
      <c r="K423" s="46"/>
      <c r="L423" s="51"/>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51"/>
      <c r="BB423" s="46"/>
      <c r="BC423" s="46"/>
      <c r="BD423" s="46"/>
      <c r="BE423" s="46"/>
      <c r="BF423" s="46"/>
      <c r="BG423" s="46"/>
      <c r="BH423" s="46"/>
      <c r="BI423" s="46"/>
      <c r="BJ423" s="46"/>
      <c r="BK423" s="46"/>
      <c r="BL423" s="46"/>
      <c r="BM423" s="46"/>
      <c r="BN423" s="46"/>
      <c r="BO423" s="46"/>
      <c r="BP423" s="46"/>
      <c r="BQ423" s="46"/>
      <c r="BR423" s="46"/>
      <c r="BS423" s="46"/>
      <c r="BT423" s="46"/>
      <c r="BU423" s="46"/>
      <c r="BV423" s="46"/>
      <c r="BW423" s="46"/>
      <c r="BX423" s="46"/>
      <c r="BY423" s="46"/>
      <c r="BZ423" s="46"/>
      <c r="CA423" s="46"/>
      <c r="CB423" s="46"/>
      <c r="CC423" s="46"/>
      <c r="CD423" s="46"/>
      <c r="CE423" s="46"/>
      <c r="CF423" s="46"/>
      <c r="CG423" s="46"/>
      <c r="CH423" s="46"/>
      <c r="CI423" s="46"/>
      <c r="CJ423" s="46"/>
      <c r="CK423" s="46"/>
      <c r="CL423" s="46"/>
      <c r="CM423" s="46"/>
      <c r="CN423" s="46"/>
    </row>
    <row r="424">
      <c r="A424" s="46"/>
      <c r="B424" s="46"/>
      <c r="C424" s="46"/>
      <c r="D424" s="46"/>
      <c r="E424" s="46"/>
      <c r="F424" s="46"/>
      <c r="G424" s="46"/>
      <c r="H424" s="46"/>
      <c r="I424" s="46"/>
      <c r="J424" s="46"/>
      <c r="K424" s="46"/>
      <c r="L424" s="51"/>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51"/>
      <c r="BB424" s="46"/>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46"/>
      <c r="BZ424" s="46"/>
      <c r="CA424" s="46"/>
      <c r="CB424" s="46"/>
      <c r="CC424" s="46"/>
      <c r="CD424" s="46"/>
      <c r="CE424" s="46"/>
      <c r="CF424" s="46"/>
      <c r="CG424" s="46"/>
      <c r="CH424" s="46"/>
      <c r="CI424" s="46"/>
      <c r="CJ424" s="46"/>
      <c r="CK424" s="46"/>
      <c r="CL424" s="46"/>
      <c r="CM424" s="46"/>
      <c r="CN424" s="46"/>
    </row>
    <row r="425">
      <c r="A425" s="46"/>
      <c r="B425" s="46"/>
      <c r="C425" s="46"/>
      <c r="D425" s="46"/>
      <c r="E425" s="46"/>
      <c r="F425" s="46"/>
      <c r="G425" s="46"/>
      <c r="H425" s="46"/>
      <c r="I425" s="46"/>
      <c r="J425" s="46"/>
      <c r="K425" s="46"/>
      <c r="L425" s="51"/>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51"/>
      <c r="BB425" s="46"/>
      <c r="BC425" s="46"/>
      <c r="BD425" s="46"/>
      <c r="BE425" s="46"/>
      <c r="BF425" s="46"/>
      <c r="BG425" s="46"/>
      <c r="BH425" s="46"/>
      <c r="BI425" s="46"/>
      <c r="BJ425" s="46"/>
      <c r="BK425" s="46"/>
      <c r="BL425" s="46"/>
      <c r="BM425" s="46"/>
      <c r="BN425" s="46"/>
      <c r="BO425" s="46"/>
      <c r="BP425" s="46"/>
      <c r="BQ425" s="46"/>
      <c r="BR425" s="46"/>
      <c r="BS425" s="46"/>
      <c r="BT425" s="46"/>
      <c r="BU425" s="46"/>
      <c r="BV425" s="46"/>
      <c r="BW425" s="46"/>
      <c r="BX425" s="46"/>
      <c r="BY425" s="46"/>
      <c r="BZ425" s="46"/>
      <c r="CA425" s="46"/>
      <c r="CB425" s="46"/>
      <c r="CC425" s="46"/>
      <c r="CD425" s="46"/>
      <c r="CE425" s="46"/>
      <c r="CF425" s="46"/>
      <c r="CG425" s="46"/>
      <c r="CH425" s="46"/>
      <c r="CI425" s="46"/>
      <c r="CJ425" s="46"/>
      <c r="CK425" s="46"/>
      <c r="CL425" s="46"/>
      <c r="CM425" s="46"/>
      <c r="CN425" s="46"/>
    </row>
    <row r="426">
      <c r="A426" s="46"/>
      <c r="B426" s="46"/>
      <c r="C426" s="46"/>
      <c r="D426" s="46"/>
      <c r="E426" s="46"/>
      <c r="F426" s="46"/>
      <c r="G426" s="46"/>
      <c r="H426" s="46"/>
      <c r="I426" s="46"/>
      <c r="J426" s="46"/>
      <c r="K426" s="46"/>
      <c r="L426" s="51"/>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51"/>
      <c r="BB426" s="46"/>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46"/>
      <c r="BZ426" s="46"/>
      <c r="CA426" s="46"/>
      <c r="CB426" s="46"/>
      <c r="CC426" s="46"/>
      <c r="CD426" s="46"/>
      <c r="CE426" s="46"/>
      <c r="CF426" s="46"/>
      <c r="CG426" s="46"/>
      <c r="CH426" s="46"/>
      <c r="CI426" s="46"/>
      <c r="CJ426" s="46"/>
      <c r="CK426" s="46"/>
      <c r="CL426" s="46"/>
      <c r="CM426" s="46"/>
      <c r="CN426" s="46"/>
    </row>
    <row r="427">
      <c r="A427" s="46"/>
      <c r="B427" s="46"/>
      <c r="C427" s="46"/>
      <c r="D427" s="46"/>
      <c r="E427" s="46"/>
      <c r="F427" s="46"/>
      <c r="G427" s="46"/>
      <c r="H427" s="46"/>
      <c r="I427" s="46"/>
      <c r="J427" s="46"/>
      <c r="K427" s="46"/>
      <c r="L427" s="51"/>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51"/>
      <c r="BB427" s="46"/>
      <c r="BC427" s="46"/>
      <c r="BD427" s="46"/>
      <c r="BE427" s="46"/>
      <c r="BF427" s="46"/>
      <c r="BG427" s="46"/>
      <c r="BH427" s="46"/>
      <c r="BI427" s="46"/>
      <c r="BJ427" s="46"/>
      <c r="BK427" s="46"/>
      <c r="BL427" s="46"/>
      <c r="BM427" s="46"/>
      <c r="BN427" s="46"/>
      <c r="BO427" s="46"/>
      <c r="BP427" s="46"/>
      <c r="BQ427" s="46"/>
      <c r="BR427" s="46"/>
      <c r="BS427" s="46"/>
      <c r="BT427" s="46"/>
      <c r="BU427" s="46"/>
      <c r="BV427" s="46"/>
      <c r="BW427" s="46"/>
      <c r="BX427" s="46"/>
      <c r="BY427" s="46"/>
      <c r="BZ427" s="46"/>
      <c r="CA427" s="46"/>
      <c r="CB427" s="46"/>
      <c r="CC427" s="46"/>
      <c r="CD427" s="46"/>
      <c r="CE427" s="46"/>
      <c r="CF427" s="46"/>
      <c r="CG427" s="46"/>
      <c r="CH427" s="46"/>
      <c r="CI427" s="46"/>
      <c r="CJ427" s="46"/>
      <c r="CK427" s="46"/>
      <c r="CL427" s="46"/>
      <c r="CM427" s="46"/>
      <c r="CN427" s="46"/>
    </row>
    <row r="428">
      <c r="A428" s="46"/>
      <c r="B428" s="46"/>
      <c r="C428" s="46"/>
      <c r="D428" s="46"/>
      <c r="E428" s="46"/>
      <c r="F428" s="46"/>
      <c r="G428" s="46"/>
      <c r="H428" s="46"/>
      <c r="I428" s="46"/>
      <c r="J428" s="46"/>
      <c r="K428" s="46"/>
      <c r="L428" s="51"/>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51"/>
      <c r="BB428" s="46"/>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46"/>
      <c r="BZ428" s="46"/>
      <c r="CA428" s="46"/>
      <c r="CB428" s="46"/>
      <c r="CC428" s="46"/>
      <c r="CD428" s="46"/>
      <c r="CE428" s="46"/>
      <c r="CF428" s="46"/>
      <c r="CG428" s="46"/>
      <c r="CH428" s="46"/>
      <c r="CI428" s="46"/>
      <c r="CJ428" s="46"/>
      <c r="CK428" s="46"/>
      <c r="CL428" s="46"/>
      <c r="CM428" s="46"/>
      <c r="CN428" s="46"/>
    </row>
    <row r="429">
      <c r="A429" s="46"/>
      <c r="B429" s="46"/>
      <c r="C429" s="46"/>
      <c r="D429" s="46"/>
      <c r="E429" s="46"/>
      <c r="F429" s="46"/>
      <c r="G429" s="46"/>
      <c r="H429" s="46"/>
      <c r="I429" s="46"/>
      <c r="J429" s="46"/>
      <c r="K429" s="46"/>
      <c r="L429" s="51"/>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51"/>
      <c r="BB429" s="46"/>
      <c r="BC429" s="46"/>
      <c r="BD429" s="46"/>
      <c r="BE429" s="46"/>
      <c r="BF429" s="46"/>
      <c r="BG429" s="46"/>
      <c r="BH429" s="46"/>
      <c r="BI429" s="46"/>
      <c r="BJ429" s="46"/>
      <c r="BK429" s="46"/>
      <c r="BL429" s="46"/>
      <c r="BM429" s="46"/>
      <c r="BN429" s="46"/>
      <c r="BO429" s="46"/>
      <c r="BP429" s="46"/>
      <c r="BQ429" s="46"/>
      <c r="BR429" s="46"/>
      <c r="BS429" s="46"/>
      <c r="BT429" s="46"/>
      <c r="BU429" s="46"/>
      <c r="BV429" s="46"/>
      <c r="BW429" s="46"/>
      <c r="BX429" s="46"/>
      <c r="BY429" s="46"/>
      <c r="BZ429" s="46"/>
      <c r="CA429" s="46"/>
      <c r="CB429" s="46"/>
      <c r="CC429" s="46"/>
      <c r="CD429" s="46"/>
      <c r="CE429" s="46"/>
      <c r="CF429" s="46"/>
      <c r="CG429" s="46"/>
      <c r="CH429" s="46"/>
      <c r="CI429" s="46"/>
      <c r="CJ429" s="46"/>
      <c r="CK429" s="46"/>
      <c r="CL429" s="46"/>
      <c r="CM429" s="46"/>
      <c r="CN429" s="46"/>
    </row>
    <row r="430">
      <c r="A430" s="46"/>
      <c r="B430" s="46"/>
      <c r="C430" s="46"/>
      <c r="D430" s="46"/>
      <c r="E430" s="46"/>
      <c r="F430" s="46"/>
      <c r="G430" s="46"/>
      <c r="H430" s="46"/>
      <c r="I430" s="46"/>
      <c r="J430" s="46"/>
      <c r="K430" s="46"/>
      <c r="L430" s="51"/>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51"/>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46"/>
      <c r="BZ430" s="46"/>
      <c r="CA430" s="46"/>
      <c r="CB430" s="46"/>
      <c r="CC430" s="46"/>
      <c r="CD430" s="46"/>
      <c r="CE430" s="46"/>
      <c r="CF430" s="46"/>
      <c r="CG430" s="46"/>
      <c r="CH430" s="46"/>
      <c r="CI430" s="46"/>
      <c r="CJ430" s="46"/>
      <c r="CK430" s="46"/>
      <c r="CL430" s="46"/>
      <c r="CM430" s="46"/>
      <c r="CN430" s="46"/>
    </row>
    <row r="431">
      <c r="A431" s="46"/>
      <c r="B431" s="46"/>
      <c r="C431" s="46"/>
      <c r="D431" s="46"/>
      <c r="E431" s="46"/>
      <c r="F431" s="46"/>
      <c r="G431" s="46"/>
      <c r="H431" s="46"/>
      <c r="I431" s="46"/>
      <c r="J431" s="46"/>
      <c r="K431" s="46"/>
      <c r="L431" s="51"/>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51"/>
      <c r="BB431" s="46"/>
      <c r="BC431" s="46"/>
      <c r="BD431" s="46"/>
      <c r="BE431" s="46"/>
      <c r="BF431" s="46"/>
      <c r="BG431" s="46"/>
      <c r="BH431" s="46"/>
      <c r="BI431" s="46"/>
      <c r="BJ431" s="46"/>
      <c r="BK431" s="46"/>
      <c r="BL431" s="46"/>
      <c r="BM431" s="46"/>
      <c r="BN431" s="46"/>
      <c r="BO431" s="46"/>
      <c r="BP431" s="46"/>
      <c r="BQ431" s="46"/>
      <c r="BR431" s="46"/>
      <c r="BS431" s="46"/>
      <c r="BT431" s="46"/>
      <c r="BU431" s="46"/>
      <c r="BV431" s="46"/>
      <c r="BW431" s="46"/>
      <c r="BX431" s="46"/>
      <c r="BY431" s="46"/>
      <c r="BZ431" s="46"/>
      <c r="CA431" s="46"/>
      <c r="CB431" s="46"/>
      <c r="CC431" s="46"/>
      <c r="CD431" s="46"/>
      <c r="CE431" s="46"/>
      <c r="CF431" s="46"/>
      <c r="CG431" s="46"/>
      <c r="CH431" s="46"/>
      <c r="CI431" s="46"/>
      <c r="CJ431" s="46"/>
      <c r="CK431" s="46"/>
      <c r="CL431" s="46"/>
      <c r="CM431" s="46"/>
      <c r="CN431" s="46"/>
    </row>
    <row r="432">
      <c r="A432" s="46"/>
      <c r="B432" s="46"/>
      <c r="C432" s="46"/>
      <c r="D432" s="46"/>
      <c r="E432" s="46"/>
      <c r="F432" s="46"/>
      <c r="G432" s="46"/>
      <c r="H432" s="46"/>
      <c r="I432" s="46"/>
      <c r="J432" s="46"/>
      <c r="K432" s="46"/>
      <c r="L432" s="51"/>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51"/>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c r="CD432" s="46"/>
      <c r="CE432" s="46"/>
      <c r="CF432" s="46"/>
      <c r="CG432" s="46"/>
      <c r="CH432" s="46"/>
      <c r="CI432" s="46"/>
      <c r="CJ432" s="46"/>
      <c r="CK432" s="46"/>
      <c r="CL432" s="46"/>
      <c r="CM432" s="46"/>
      <c r="CN432" s="46"/>
    </row>
    <row r="433">
      <c r="A433" s="46"/>
      <c r="B433" s="46"/>
      <c r="C433" s="46"/>
      <c r="D433" s="46"/>
      <c r="E433" s="46"/>
      <c r="F433" s="46"/>
      <c r="G433" s="46"/>
      <c r="H433" s="46"/>
      <c r="I433" s="46"/>
      <c r="J433" s="46"/>
      <c r="K433" s="46"/>
      <c r="L433" s="51"/>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51"/>
      <c r="BB433" s="46"/>
      <c r="BC433" s="46"/>
      <c r="BD433" s="46"/>
      <c r="BE433" s="46"/>
      <c r="BF433" s="46"/>
      <c r="BG433" s="46"/>
      <c r="BH433" s="46"/>
      <c r="BI433" s="46"/>
      <c r="BJ433" s="46"/>
      <c r="BK433" s="46"/>
      <c r="BL433" s="46"/>
      <c r="BM433" s="46"/>
      <c r="BN433" s="46"/>
      <c r="BO433" s="46"/>
      <c r="BP433" s="46"/>
      <c r="BQ433" s="46"/>
      <c r="BR433" s="46"/>
      <c r="BS433" s="46"/>
      <c r="BT433" s="46"/>
      <c r="BU433" s="46"/>
      <c r="BV433" s="46"/>
      <c r="BW433" s="46"/>
      <c r="BX433" s="46"/>
      <c r="BY433" s="46"/>
      <c r="BZ433" s="46"/>
      <c r="CA433" s="46"/>
      <c r="CB433" s="46"/>
      <c r="CC433" s="46"/>
      <c r="CD433" s="46"/>
      <c r="CE433" s="46"/>
      <c r="CF433" s="46"/>
      <c r="CG433" s="46"/>
      <c r="CH433" s="46"/>
      <c r="CI433" s="46"/>
      <c r="CJ433" s="46"/>
      <c r="CK433" s="46"/>
      <c r="CL433" s="46"/>
      <c r="CM433" s="46"/>
      <c r="CN433" s="46"/>
    </row>
    <row r="434">
      <c r="A434" s="46"/>
      <c r="B434" s="46"/>
      <c r="C434" s="46"/>
      <c r="D434" s="46"/>
      <c r="E434" s="46"/>
      <c r="F434" s="46"/>
      <c r="G434" s="46"/>
      <c r="H434" s="46"/>
      <c r="I434" s="46"/>
      <c r="J434" s="46"/>
      <c r="K434" s="46"/>
      <c r="L434" s="51"/>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51"/>
      <c r="BB434" s="46"/>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46"/>
      <c r="BZ434" s="46"/>
      <c r="CA434" s="46"/>
      <c r="CB434" s="46"/>
      <c r="CC434" s="46"/>
      <c r="CD434" s="46"/>
      <c r="CE434" s="46"/>
      <c r="CF434" s="46"/>
      <c r="CG434" s="46"/>
      <c r="CH434" s="46"/>
      <c r="CI434" s="46"/>
      <c r="CJ434" s="46"/>
      <c r="CK434" s="46"/>
      <c r="CL434" s="46"/>
      <c r="CM434" s="46"/>
      <c r="CN434" s="46"/>
    </row>
    <row r="435">
      <c r="A435" s="46"/>
      <c r="B435" s="46"/>
      <c r="C435" s="46"/>
      <c r="D435" s="46"/>
      <c r="E435" s="46"/>
      <c r="F435" s="46"/>
      <c r="G435" s="46"/>
      <c r="H435" s="46"/>
      <c r="I435" s="46"/>
      <c r="J435" s="46"/>
      <c r="K435" s="46"/>
      <c r="L435" s="51"/>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51"/>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6"/>
      <c r="BY435" s="46"/>
      <c r="BZ435" s="46"/>
      <c r="CA435" s="46"/>
      <c r="CB435" s="46"/>
      <c r="CC435" s="46"/>
      <c r="CD435" s="46"/>
      <c r="CE435" s="46"/>
      <c r="CF435" s="46"/>
      <c r="CG435" s="46"/>
      <c r="CH435" s="46"/>
      <c r="CI435" s="46"/>
      <c r="CJ435" s="46"/>
      <c r="CK435" s="46"/>
      <c r="CL435" s="46"/>
      <c r="CM435" s="46"/>
      <c r="CN435" s="46"/>
    </row>
    <row r="436">
      <c r="A436" s="46"/>
      <c r="B436" s="46"/>
      <c r="C436" s="46"/>
      <c r="D436" s="46"/>
      <c r="E436" s="46"/>
      <c r="F436" s="46"/>
      <c r="G436" s="46"/>
      <c r="H436" s="46"/>
      <c r="I436" s="46"/>
      <c r="J436" s="46"/>
      <c r="K436" s="46"/>
      <c r="L436" s="51"/>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51"/>
      <c r="BB436" s="46"/>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46"/>
      <c r="BZ436" s="46"/>
      <c r="CA436" s="46"/>
      <c r="CB436" s="46"/>
      <c r="CC436" s="46"/>
      <c r="CD436" s="46"/>
      <c r="CE436" s="46"/>
      <c r="CF436" s="46"/>
      <c r="CG436" s="46"/>
      <c r="CH436" s="46"/>
      <c r="CI436" s="46"/>
      <c r="CJ436" s="46"/>
      <c r="CK436" s="46"/>
      <c r="CL436" s="46"/>
      <c r="CM436" s="46"/>
      <c r="CN436" s="46"/>
    </row>
    <row r="437">
      <c r="A437" s="46"/>
      <c r="B437" s="46"/>
      <c r="C437" s="46"/>
      <c r="D437" s="46"/>
      <c r="E437" s="46"/>
      <c r="F437" s="46"/>
      <c r="G437" s="46"/>
      <c r="H437" s="46"/>
      <c r="I437" s="46"/>
      <c r="J437" s="46"/>
      <c r="K437" s="46"/>
      <c r="L437" s="51"/>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51"/>
      <c r="BB437" s="46"/>
      <c r="BC437" s="46"/>
      <c r="BD437" s="46"/>
      <c r="BE437" s="46"/>
      <c r="BF437" s="46"/>
      <c r="BG437" s="46"/>
      <c r="BH437" s="46"/>
      <c r="BI437" s="46"/>
      <c r="BJ437" s="46"/>
      <c r="BK437" s="46"/>
      <c r="BL437" s="46"/>
      <c r="BM437" s="46"/>
      <c r="BN437" s="46"/>
      <c r="BO437" s="46"/>
      <c r="BP437" s="46"/>
      <c r="BQ437" s="46"/>
      <c r="BR437" s="46"/>
      <c r="BS437" s="46"/>
      <c r="BT437" s="46"/>
      <c r="BU437" s="46"/>
      <c r="BV437" s="46"/>
      <c r="BW437" s="46"/>
      <c r="BX437" s="46"/>
      <c r="BY437" s="46"/>
      <c r="BZ437" s="46"/>
      <c r="CA437" s="46"/>
      <c r="CB437" s="46"/>
      <c r="CC437" s="46"/>
      <c r="CD437" s="46"/>
      <c r="CE437" s="46"/>
      <c r="CF437" s="46"/>
      <c r="CG437" s="46"/>
      <c r="CH437" s="46"/>
      <c r="CI437" s="46"/>
      <c r="CJ437" s="46"/>
      <c r="CK437" s="46"/>
      <c r="CL437" s="46"/>
      <c r="CM437" s="46"/>
      <c r="CN437" s="46"/>
    </row>
    <row r="438">
      <c r="A438" s="46"/>
      <c r="B438" s="46"/>
      <c r="C438" s="46"/>
      <c r="D438" s="46"/>
      <c r="E438" s="46"/>
      <c r="F438" s="46"/>
      <c r="G438" s="46"/>
      <c r="H438" s="46"/>
      <c r="I438" s="46"/>
      <c r="J438" s="46"/>
      <c r="K438" s="46"/>
      <c r="L438" s="51"/>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51"/>
      <c r="BB438" s="46"/>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46"/>
      <c r="BZ438" s="46"/>
      <c r="CA438" s="46"/>
      <c r="CB438" s="46"/>
      <c r="CC438" s="46"/>
      <c r="CD438" s="46"/>
      <c r="CE438" s="46"/>
      <c r="CF438" s="46"/>
      <c r="CG438" s="46"/>
      <c r="CH438" s="46"/>
      <c r="CI438" s="46"/>
      <c r="CJ438" s="46"/>
      <c r="CK438" s="46"/>
      <c r="CL438" s="46"/>
      <c r="CM438" s="46"/>
      <c r="CN438" s="46"/>
    </row>
    <row r="439">
      <c r="A439" s="46"/>
      <c r="B439" s="46"/>
      <c r="C439" s="46"/>
      <c r="D439" s="46"/>
      <c r="E439" s="46"/>
      <c r="F439" s="46"/>
      <c r="G439" s="46"/>
      <c r="H439" s="46"/>
      <c r="I439" s="46"/>
      <c r="J439" s="46"/>
      <c r="K439" s="46"/>
      <c r="L439" s="51"/>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51"/>
      <c r="BB439" s="46"/>
      <c r="BC439" s="46"/>
      <c r="BD439" s="46"/>
      <c r="BE439" s="46"/>
      <c r="BF439" s="46"/>
      <c r="BG439" s="46"/>
      <c r="BH439" s="46"/>
      <c r="BI439" s="46"/>
      <c r="BJ439" s="46"/>
      <c r="BK439" s="46"/>
      <c r="BL439" s="46"/>
      <c r="BM439" s="46"/>
      <c r="BN439" s="46"/>
      <c r="BO439" s="46"/>
      <c r="BP439" s="46"/>
      <c r="BQ439" s="46"/>
      <c r="BR439" s="46"/>
      <c r="BS439" s="46"/>
      <c r="BT439" s="46"/>
      <c r="BU439" s="46"/>
      <c r="BV439" s="46"/>
      <c r="BW439" s="46"/>
      <c r="BX439" s="46"/>
      <c r="BY439" s="46"/>
      <c r="BZ439" s="46"/>
      <c r="CA439" s="46"/>
      <c r="CB439" s="46"/>
      <c r="CC439" s="46"/>
      <c r="CD439" s="46"/>
      <c r="CE439" s="46"/>
      <c r="CF439" s="46"/>
      <c r="CG439" s="46"/>
      <c r="CH439" s="46"/>
      <c r="CI439" s="46"/>
      <c r="CJ439" s="46"/>
      <c r="CK439" s="46"/>
      <c r="CL439" s="46"/>
      <c r="CM439" s="46"/>
      <c r="CN439" s="46"/>
    </row>
    <row r="440">
      <c r="A440" s="46"/>
      <c r="B440" s="46"/>
      <c r="C440" s="46"/>
      <c r="D440" s="46"/>
      <c r="E440" s="46"/>
      <c r="F440" s="46"/>
      <c r="G440" s="46"/>
      <c r="H440" s="46"/>
      <c r="I440" s="46"/>
      <c r="J440" s="46"/>
      <c r="K440" s="46"/>
      <c r="L440" s="51"/>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51"/>
      <c r="BB440" s="46"/>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46"/>
      <c r="BZ440" s="46"/>
      <c r="CA440" s="46"/>
      <c r="CB440" s="46"/>
      <c r="CC440" s="46"/>
      <c r="CD440" s="46"/>
      <c r="CE440" s="46"/>
      <c r="CF440" s="46"/>
      <c r="CG440" s="46"/>
      <c r="CH440" s="46"/>
      <c r="CI440" s="46"/>
      <c r="CJ440" s="46"/>
      <c r="CK440" s="46"/>
      <c r="CL440" s="46"/>
      <c r="CM440" s="46"/>
      <c r="CN440" s="46"/>
    </row>
    <row r="441">
      <c r="A441" s="46"/>
      <c r="B441" s="46"/>
      <c r="C441" s="46"/>
      <c r="D441" s="46"/>
      <c r="E441" s="46"/>
      <c r="F441" s="46"/>
      <c r="G441" s="46"/>
      <c r="H441" s="46"/>
      <c r="I441" s="46"/>
      <c r="J441" s="46"/>
      <c r="K441" s="46"/>
      <c r="L441" s="51"/>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51"/>
      <c r="BB441" s="46"/>
      <c r="BC441" s="46"/>
      <c r="BD441" s="46"/>
      <c r="BE441" s="46"/>
      <c r="BF441" s="46"/>
      <c r="BG441" s="46"/>
      <c r="BH441" s="46"/>
      <c r="BI441" s="46"/>
      <c r="BJ441" s="46"/>
      <c r="BK441" s="46"/>
      <c r="BL441" s="46"/>
      <c r="BM441" s="46"/>
      <c r="BN441" s="46"/>
      <c r="BO441" s="46"/>
      <c r="BP441" s="46"/>
      <c r="BQ441" s="46"/>
      <c r="BR441" s="46"/>
      <c r="BS441" s="46"/>
      <c r="BT441" s="46"/>
      <c r="BU441" s="46"/>
      <c r="BV441" s="46"/>
      <c r="BW441" s="46"/>
      <c r="BX441" s="46"/>
      <c r="BY441" s="46"/>
      <c r="BZ441" s="46"/>
      <c r="CA441" s="46"/>
      <c r="CB441" s="46"/>
      <c r="CC441" s="46"/>
      <c r="CD441" s="46"/>
      <c r="CE441" s="46"/>
      <c r="CF441" s="46"/>
      <c r="CG441" s="46"/>
      <c r="CH441" s="46"/>
      <c r="CI441" s="46"/>
      <c r="CJ441" s="46"/>
      <c r="CK441" s="46"/>
      <c r="CL441" s="46"/>
      <c r="CM441" s="46"/>
      <c r="CN441" s="46"/>
    </row>
    <row r="442">
      <c r="A442" s="46"/>
      <c r="B442" s="46"/>
      <c r="C442" s="46"/>
      <c r="D442" s="46"/>
      <c r="E442" s="46"/>
      <c r="F442" s="46"/>
      <c r="G442" s="46"/>
      <c r="H442" s="46"/>
      <c r="I442" s="46"/>
      <c r="J442" s="46"/>
      <c r="K442" s="46"/>
      <c r="L442" s="51"/>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51"/>
      <c r="BB442" s="46"/>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46"/>
      <c r="BZ442" s="46"/>
      <c r="CA442" s="46"/>
      <c r="CB442" s="46"/>
      <c r="CC442" s="46"/>
      <c r="CD442" s="46"/>
      <c r="CE442" s="46"/>
      <c r="CF442" s="46"/>
      <c r="CG442" s="46"/>
      <c r="CH442" s="46"/>
      <c r="CI442" s="46"/>
      <c r="CJ442" s="46"/>
      <c r="CK442" s="46"/>
      <c r="CL442" s="46"/>
      <c r="CM442" s="46"/>
      <c r="CN442" s="46"/>
    </row>
    <row r="443">
      <c r="A443" s="46"/>
      <c r="B443" s="46"/>
      <c r="C443" s="46"/>
      <c r="D443" s="46"/>
      <c r="E443" s="46"/>
      <c r="F443" s="46"/>
      <c r="G443" s="46"/>
      <c r="H443" s="46"/>
      <c r="I443" s="46"/>
      <c r="J443" s="46"/>
      <c r="K443" s="46"/>
      <c r="L443" s="51"/>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51"/>
      <c r="BB443" s="46"/>
      <c r="BC443" s="46"/>
      <c r="BD443" s="46"/>
      <c r="BE443" s="46"/>
      <c r="BF443" s="46"/>
      <c r="BG443" s="46"/>
      <c r="BH443" s="46"/>
      <c r="BI443" s="46"/>
      <c r="BJ443" s="46"/>
      <c r="BK443" s="46"/>
      <c r="BL443" s="46"/>
      <c r="BM443" s="46"/>
      <c r="BN443" s="46"/>
      <c r="BO443" s="46"/>
      <c r="BP443" s="46"/>
      <c r="BQ443" s="46"/>
      <c r="BR443" s="46"/>
      <c r="BS443" s="46"/>
      <c r="BT443" s="46"/>
      <c r="BU443" s="46"/>
      <c r="BV443" s="46"/>
      <c r="BW443" s="46"/>
      <c r="BX443" s="46"/>
      <c r="BY443" s="46"/>
      <c r="BZ443" s="46"/>
      <c r="CA443" s="46"/>
      <c r="CB443" s="46"/>
      <c r="CC443" s="46"/>
      <c r="CD443" s="46"/>
      <c r="CE443" s="46"/>
      <c r="CF443" s="46"/>
      <c r="CG443" s="46"/>
      <c r="CH443" s="46"/>
      <c r="CI443" s="46"/>
      <c r="CJ443" s="46"/>
      <c r="CK443" s="46"/>
      <c r="CL443" s="46"/>
      <c r="CM443" s="46"/>
      <c r="CN443" s="46"/>
    </row>
    <row r="444">
      <c r="A444" s="46"/>
      <c r="B444" s="46"/>
      <c r="C444" s="46"/>
      <c r="D444" s="46"/>
      <c r="E444" s="46"/>
      <c r="F444" s="46"/>
      <c r="G444" s="46"/>
      <c r="H444" s="46"/>
      <c r="I444" s="46"/>
      <c r="J444" s="46"/>
      <c r="K444" s="46"/>
      <c r="L444" s="51"/>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51"/>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row>
    <row r="445">
      <c r="A445" s="46"/>
      <c r="B445" s="46"/>
      <c r="C445" s="46"/>
      <c r="D445" s="46"/>
      <c r="E445" s="46"/>
      <c r="F445" s="46"/>
      <c r="G445" s="46"/>
      <c r="H445" s="46"/>
      <c r="I445" s="46"/>
      <c r="J445" s="46"/>
      <c r="K445" s="46"/>
      <c r="L445" s="51"/>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51"/>
      <c r="BB445" s="46"/>
      <c r="BC445" s="46"/>
      <c r="BD445" s="46"/>
      <c r="BE445" s="46"/>
      <c r="BF445" s="46"/>
      <c r="BG445" s="46"/>
      <c r="BH445" s="46"/>
      <c r="BI445" s="46"/>
      <c r="BJ445" s="46"/>
      <c r="BK445" s="46"/>
      <c r="BL445" s="46"/>
      <c r="BM445" s="46"/>
      <c r="BN445" s="46"/>
      <c r="BO445" s="46"/>
      <c r="BP445" s="46"/>
      <c r="BQ445" s="46"/>
      <c r="BR445" s="46"/>
      <c r="BS445" s="46"/>
      <c r="BT445" s="46"/>
      <c r="BU445" s="46"/>
      <c r="BV445" s="46"/>
      <c r="BW445" s="46"/>
      <c r="BX445" s="46"/>
      <c r="BY445" s="46"/>
      <c r="BZ445" s="46"/>
      <c r="CA445" s="46"/>
      <c r="CB445" s="46"/>
      <c r="CC445" s="46"/>
      <c r="CD445" s="46"/>
      <c r="CE445" s="46"/>
      <c r="CF445" s="46"/>
      <c r="CG445" s="46"/>
      <c r="CH445" s="46"/>
      <c r="CI445" s="46"/>
      <c r="CJ445" s="46"/>
      <c r="CK445" s="46"/>
      <c r="CL445" s="46"/>
      <c r="CM445" s="46"/>
      <c r="CN445" s="46"/>
    </row>
    <row r="446">
      <c r="A446" s="46"/>
      <c r="B446" s="46"/>
      <c r="C446" s="46"/>
      <c r="D446" s="46"/>
      <c r="E446" s="46"/>
      <c r="F446" s="46"/>
      <c r="G446" s="46"/>
      <c r="H446" s="46"/>
      <c r="I446" s="46"/>
      <c r="J446" s="46"/>
      <c r="K446" s="46"/>
      <c r="L446" s="51"/>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51"/>
      <c r="BB446" s="46"/>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46"/>
      <c r="BZ446" s="46"/>
      <c r="CA446" s="46"/>
      <c r="CB446" s="46"/>
      <c r="CC446" s="46"/>
      <c r="CD446" s="46"/>
      <c r="CE446" s="46"/>
      <c r="CF446" s="46"/>
      <c r="CG446" s="46"/>
      <c r="CH446" s="46"/>
      <c r="CI446" s="46"/>
      <c r="CJ446" s="46"/>
      <c r="CK446" s="46"/>
      <c r="CL446" s="46"/>
      <c r="CM446" s="46"/>
      <c r="CN446" s="46"/>
    </row>
    <row r="447">
      <c r="A447" s="46"/>
      <c r="B447" s="46"/>
      <c r="C447" s="46"/>
      <c r="D447" s="46"/>
      <c r="E447" s="46"/>
      <c r="F447" s="46"/>
      <c r="G447" s="46"/>
      <c r="H447" s="46"/>
      <c r="I447" s="46"/>
      <c r="J447" s="46"/>
      <c r="K447" s="46"/>
      <c r="L447" s="51"/>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51"/>
      <c r="BB447" s="46"/>
      <c r="BC447" s="46"/>
      <c r="BD447" s="46"/>
      <c r="BE447" s="46"/>
      <c r="BF447" s="46"/>
      <c r="BG447" s="46"/>
      <c r="BH447" s="46"/>
      <c r="BI447" s="46"/>
      <c r="BJ447" s="46"/>
      <c r="BK447" s="46"/>
      <c r="BL447" s="46"/>
      <c r="BM447" s="46"/>
      <c r="BN447" s="46"/>
      <c r="BO447" s="46"/>
      <c r="BP447" s="46"/>
      <c r="BQ447" s="46"/>
      <c r="BR447" s="46"/>
      <c r="BS447" s="46"/>
      <c r="BT447" s="46"/>
      <c r="BU447" s="46"/>
      <c r="BV447" s="46"/>
      <c r="BW447" s="46"/>
      <c r="BX447" s="46"/>
      <c r="BY447" s="46"/>
      <c r="BZ447" s="46"/>
      <c r="CA447" s="46"/>
      <c r="CB447" s="46"/>
      <c r="CC447" s="46"/>
      <c r="CD447" s="46"/>
      <c r="CE447" s="46"/>
      <c r="CF447" s="46"/>
      <c r="CG447" s="46"/>
      <c r="CH447" s="46"/>
      <c r="CI447" s="46"/>
      <c r="CJ447" s="46"/>
      <c r="CK447" s="46"/>
      <c r="CL447" s="46"/>
      <c r="CM447" s="46"/>
      <c r="CN447" s="46"/>
    </row>
    <row r="448">
      <c r="A448" s="46"/>
      <c r="B448" s="46"/>
      <c r="C448" s="46"/>
      <c r="D448" s="46"/>
      <c r="E448" s="46"/>
      <c r="F448" s="46"/>
      <c r="G448" s="46"/>
      <c r="H448" s="46"/>
      <c r="I448" s="46"/>
      <c r="J448" s="46"/>
      <c r="K448" s="46"/>
      <c r="L448" s="51"/>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51"/>
      <c r="BB448" s="46"/>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46"/>
      <c r="BZ448" s="46"/>
      <c r="CA448" s="46"/>
      <c r="CB448" s="46"/>
      <c r="CC448" s="46"/>
      <c r="CD448" s="46"/>
      <c r="CE448" s="46"/>
      <c r="CF448" s="46"/>
      <c r="CG448" s="46"/>
      <c r="CH448" s="46"/>
      <c r="CI448" s="46"/>
      <c r="CJ448" s="46"/>
      <c r="CK448" s="46"/>
      <c r="CL448" s="46"/>
      <c r="CM448" s="46"/>
      <c r="CN448" s="46"/>
    </row>
    <row r="449">
      <c r="A449" s="46"/>
      <c r="B449" s="46"/>
      <c r="C449" s="46"/>
      <c r="D449" s="46"/>
      <c r="E449" s="46"/>
      <c r="F449" s="46"/>
      <c r="G449" s="46"/>
      <c r="H449" s="46"/>
      <c r="I449" s="46"/>
      <c r="J449" s="46"/>
      <c r="K449" s="46"/>
      <c r="L449" s="51"/>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51"/>
      <c r="BB449" s="46"/>
      <c r="BC449" s="46"/>
      <c r="BD449" s="46"/>
      <c r="BE449" s="46"/>
      <c r="BF449" s="46"/>
      <c r="BG449" s="46"/>
      <c r="BH449" s="46"/>
      <c r="BI449" s="46"/>
      <c r="BJ449" s="46"/>
      <c r="BK449" s="46"/>
      <c r="BL449" s="46"/>
      <c r="BM449" s="46"/>
      <c r="BN449" s="46"/>
      <c r="BO449" s="46"/>
      <c r="BP449" s="46"/>
      <c r="BQ449" s="46"/>
      <c r="BR449" s="46"/>
      <c r="BS449" s="46"/>
      <c r="BT449" s="46"/>
      <c r="BU449" s="46"/>
      <c r="BV449" s="46"/>
      <c r="BW449" s="46"/>
      <c r="BX449" s="46"/>
      <c r="BY449" s="46"/>
      <c r="BZ449" s="46"/>
      <c r="CA449" s="46"/>
      <c r="CB449" s="46"/>
      <c r="CC449" s="46"/>
      <c r="CD449" s="46"/>
      <c r="CE449" s="46"/>
      <c r="CF449" s="46"/>
      <c r="CG449" s="46"/>
      <c r="CH449" s="46"/>
      <c r="CI449" s="46"/>
      <c r="CJ449" s="46"/>
      <c r="CK449" s="46"/>
      <c r="CL449" s="46"/>
      <c r="CM449" s="46"/>
      <c r="CN449" s="46"/>
    </row>
    <row r="450">
      <c r="A450" s="46"/>
      <c r="B450" s="46"/>
      <c r="C450" s="46"/>
      <c r="D450" s="46"/>
      <c r="E450" s="46"/>
      <c r="F450" s="46"/>
      <c r="G450" s="46"/>
      <c r="H450" s="46"/>
      <c r="I450" s="46"/>
      <c r="J450" s="46"/>
      <c r="K450" s="46"/>
      <c r="L450" s="51"/>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51"/>
      <c r="BB450" s="46"/>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46"/>
      <c r="BZ450" s="46"/>
      <c r="CA450" s="46"/>
      <c r="CB450" s="46"/>
      <c r="CC450" s="46"/>
      <c r="CD450" s="46"/>
      <c r="CE450" s="46"/>
      <c r="CF450" s="46"/>
      <c r="CG450" s="46"/>
      <c r="CH450" s="46"/>
      <c r="CI450" s="46"/>
      <c r="CJ450" s="46"/>
      <c r="CK450" s="46"/>
      <c r="CL450" s="46"/>
      <c r="CM450" s="46"/>
      <c r="CN450" s="46"/>
    </row>
    <row r="451">
      <c r="A451" s="46"/>
      <c r="B451" s="46"/>
      <c r="C451" s="46"/>
      <c r="D451" s="46"/>
      <c r="E451" s="46"/>
      <c r="F451" s="46"/>
      <c r="G451" s="46"/>
      <c r="H451" s="46"/>
      <c r="I451" s="46"/>
      <c r="J451" s="46"/>
      <c r="K451" s="46"/>
      <c r="L451" s="51"/>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51"/>
      <c r="BB451" s="46"/>
      <c r="BC451" s="46"/>
      <c r="BD451" s="46"/>
      <c r="BE451" s="46"/>
      <c r="BF451" s="46"/>
      <c r="BG451" s="46"/>
      <c r="BH451" s="46"/>
      <c r="BI451" s="46"/>
      <c r="BJ451" s="46"/>
      <c r="BK451" s="46"/>
      <c r="BL451" s="46"/>
      <c r="BM451" s="46"/>
      <c r="BN451" s="46"/>
      <c r="BO451" s="46"/>
      <c r="BP451" s="46"/>
      <c r="BQ451" s="46"/>
      <c r="BR451" s="46"/>
      <c r="BS451" s="46"/>
      <c r="BT451" s="46"/>
      <c r="BU451" s="46"/>
      <c r="BV451" s="46"/>
      <c r="BW451" s="46"/>
      <c r="BX451" s="46"/>
      <c r="BY451" s="46"/>
      <c r="BZ451" s="46"/>
      <c r="CA451" s="46"/>
      <c r="CB451" s="46"/>
      <c r="CC451" s="46"/>
      <c r="CD451" s="46"/>
      <c r="CE451" s="46"/>
      <c r="CF451" s="46"/>
      <c r="CG451" s="46"/>
      <c r="CH451" s="46"/>
      <c r="CI451" s="46"/>
      <c r="CJ451" s="46"/>
      <c r="CK451" s="46"/>
      <c r="CL451" s="46"/>
      <c r="CM451" s="46"/>
      <c r="CN451" s="46"/>
    </row>
    <row r="452">
      <c r="A452" s="46"/>
      <c r="B452" s="46"/>
      <c r="C452" s="46"/>
      <c r="D452" s="46"/>
      <c r="E452" s="46"/>
      <c r="F452" s="46"/>
      <c r="G452" s="46"/>
      <c r="H452" s="46"/>
      <c r="I452" s="46"/>
      <c r="J452" s="46"/>
      <c r="K452" s="46"/>
      <c r="L452" s="51"/>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51"/>
      <c r="BB452" s="46"/>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46"/>
      <c r="BZ452" s="46"/>
      <c r="CA452" s="46"/>
      <c r="CB452" s="46"/>
      <c r="CC452" s="46"/>
      <c r="CD452" s="46"/>
      <c r="CE452" s="46"/>
      <c r="CF452" s="46"/>
      <c r="CG452" s="46"/>
      <c r="CH452" s="46"/>
      <c r="CI452" s="46"/>
      <c r="CJ452" s="46"/>
      <c r="CK452" s="46"/>
      <c r="CL452" s="46"/>
      <c r="CM452" s="46"/>
      <c r="CN452" s="46"/>
    </row>
    <row r="453">
      <c r="A453" s="46"/>
      <c r="B453" s="46"/>
      <c r="C453" s="46"/>
      <c r="D453" s="46"/>
      <c r="E453" s="46"/>
      <c r="F453" s="46"/>
      <c r="G453" s="46"/>
      <c r="H453" s="46"/>
      <c r="I453" s="46"/>
      <c r="J453" s="46"/>
      <c r="K453" s="46"/>
      <c r="L453" s="51"/>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51"/>
      <c r="BB453" s="46"/>
      <c r="BC453" s="46"/>
      <c r="BD453" s="46"/>
      <c r="BE453" s="46"/>
      <c r="BF453" s="46"/>
      <c r="BG453" s="46"/>
      <c r="BH453" s="46"/>
      <c r="BI453" s="46"/>
      <c r="BJ453" s="46"/>
      <c r="BK453" s="46"/>
      <c r="BL453" s="46"/>
      <c r="BM453" s="46"/>
      <c r="BN453" s="46"/>
      <c r="BO453" s="46"/>
      <c r="BP453" s="46"/>
      <c r="BQ453" s="46"/>
      <c r="BR453" s="46"/>
      <c r="BS453" s="46"/>
      <c r="BT453" s="46"/>
      <c r="BU453" s="46"/>
      <c r="BV453" s="46"/>
      <c r="BW453" s="46"/>
      <c r="BX453" s="46"/>
      <c r="BY453" s="46"/>
      <c r="BZ453" s="46"/>
      <c r="CA453" s="46"/>
      <c r="CB453" s="46"/>
      <c r="CC453" s="46"/>
      <c r="CD453" s="46"/>
      <c r="CE453" s="46"/>
      <c r="CF453" s="46"/>
      <c r="CG453" s="46"/>
      <c r="CH453" s="46"/>
      <c r="CI453" s="46"/>
      <c r="CJ453" s="46"/>
      <c r="CK453" s="46"/>
      <c r="CL453" s="46"/>
      <c r="CM453" s="46"/>
      <c r="CN453" s="46"/>
    </row>
    <row r="454">
      <c r="A454" s="46"/>
      <c r="B454" s="46"/>
      <c r="C454" s="46"/>
      <c r="D454" s="46"/>
      <c r="E454" s="46"/>
      <c r="F454" s="46"/>
      <c r="G454" s="46"/>
      <c r="H454" s="46"/>
      <c r="I454" s="46"/>
      <c r="J454" s="46"/>
      <c r="K454" s="46"/>
      <c r="L454" s="51"/>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51"/>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c r="CD454" s="46"/>
      <c r="CE454" s="46"/>
      <c r="CF454" s="46"/>
      <c r="CG454" s="46"/>
      <c r="CH454" s="46"/>
      <c r="CI454" s="46"/>
      <c r="CJ454" s="46"/>
      <c r="CK454" s="46"/>
      <c r="CL454" s="46"/>
      <c r="CM454" s="46"/>
      <c r="CN454" s="46"/>
    </row>
    <row r="455">
      <c r="A455" s="46"/>
      <c r="B455" s="46"/>
      <c r="C455" s="46"/>
      <c r="D455" s="46"/>
      <c r="E455" s="46"/>
      <c r="F455" s="46"/>
      <c r="G455" s="46"/>
      <c r="H455" s="46"/>
      <c r="I455" s="46"/>
      <c r="J455" s="46"/>
      <c r="K455" s="46"/>
      <c r="L455" s="51"/>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51"/>
      <c r="BB455" s="46"/>
      <c r="BC455" s="46"/>
      <c r="BD455" s="46"/>
      <c r="BE455" s="46"/>
      <c r="BF455" s="46"/>
      <c r="BG455" s="46"/>
      <c r="BH455" s="46"/>
      <c r="BI455" s="46"/>
      <c r="BJ455" s="46"/>
      <c r="BK455" s="46"/>
      <c r="BL455" s="46"/>
      <c r="BM455" s="46"/>
      <c r="BN455" s="46"/>
      <c r="BO455" s="46"/>
      <c r="BP455" s="46"/>
      <c r="BQ455" s="46"/>
      <c r="BR455" s="46"/>
      <c r="BS455" s="46"/>
      <c r="BT455" s="46"/>
      <c r="BU455" s="46"/>
      <c r="BV455" s="46"/>
      <c r="BW455" s="46"/>
      <c r="BX455" s="46"/>
      <c r="BY455" s="46"/>
      <c r="BZ455" s="46"/>
      <c r="CA455" s="46"/>
      <c r="CB455" s="46"/>
      <c r="CC455" s="46"/>
      <c r="CD455" s="46"/>
      <c r="CE455" s="46"/>
      <c r="CF455" s="46"/>
      <c r="CG455" s="46"/>
      <c r="CH455" s="46"/>
      <c r="CI455" s="46"/>
      <c r="CJ455" s="46"/>
      <c r="CK455" s="46"/>
      <c r="CL455" s="46"/>
      <c r="CM455" s="46"/>
      <c r="CN455" s="46"/>
    </row>
    <row r="456">
      <c r="A456" s="46"/>
      <c r="B456" s="46"/>
      <c r="C456" s="46"/>
      <c r="D456" s="46"/>
      <c r="E456" s="46"/>
      <c r="F456" s="46"/>
      <c r="G456" s="46"/>
      <c r="H456" s="46"/>
      <c r="I456" s="46"/>
      <c r="J456" s="46"/>
      <c r="K456" s="46"/>
      <c r="L456" s="51"/>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51"/>
      <c r="BB456" s="46"/>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46"/>
      <c r="BZ456" s="46"/>
      <c r="CA456" s="46"/>
      <c r="CB456" s="46"/>
      <c r="CC456" s="46"/>
      <c r="CD456" s="46"/>
      <c r="CE456" s="46"/>
      <c r="CF456" s="46"/>
      <c r="CG456" s="46"/>
      <c r="CH456" s="46"/>
      <c r="CI456" s="46"/>
      <c r="CJ456" s="46"/>
      <c r="CK456" s="46"/>
      <c r="CL456" s="46"/>
      <c r="CM456" s="46"/>
      <c r="CN456" s="46"/>
    </row>
    <row r="457">
      <c r="A457" s="46"/>
      <c r="B457" s="46"/>
      <c r="C457" s="46"/>
      <c r="D457" s="46"/>
      <c r="E457" s="46"/>
      <c r="F457" s="46"/>
      <c r="G457" s="46"/>
      <c r="H457" s="46"/>
      <c r="I457" s="46"/>
      <c r="J457" s="46"/>
      <c r="K457" s="46"/>
      <c r="L457" s="51"/>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51"/>
      <c r="BB457" s="46"/>
      <c r="BC457" s="46"/>
      <c r="BD457" s="46"/>
      <c r="BE457" s="46"/>
      <c r="BF457" s="46"/>
      <c r="BG457" s="46"/>
      <c r="BH457" s="46"/>
      <c r="BI457" s="46"/>
      <c r="BJ457" s="46"/>
      <c r="BK457" s="46"/>
      <c r="BL457" s="46"/>
      <c r="BM457" s="46"/>
      <c r="BN457" s="46"/>
      <c r="BO457" s="46"/>
      <c r="BP457" s="46"/>
      <c r="BQ457" s="46"/>
      <c r="BR457" s="46"/>
      <c r="BS457" s="46"/>
      <c r="BT457" s="46"/>
      <c r="BU457" s="46"/>
      <c r="BV457" s="46"/>
      <c r="BW457" s="46"/>
      <c r="BX457" s="46"/>
      <c r="BY457" s="46"/>
      <c r="BZ457" s="46"/>
      <c r="CA457" s="46"/>
      <c r="CB457" s="46"/>
      <c r="CC457" s="46"/>
      <c r="CD457" s="46"/>
      <c r="CE457" s="46"/>
      <c r="CF457" s="46"/>
      <c r="CG457" s="46"/>
      <c r="CH457" s="46"/>
      <c r="CI457" s="46"/>
      <c r="CJ457" s="46"/>
      <c r="CK457" s="46"/>
      <c r="CL457" s="46"/>
      <c r="CM457" s="46"/>
      <c r="CN457" s="46"/>
    </row>
    <row r="458">
      <c r="A458" s="46"/>
      <c r="B458" s="46"/>
      <c r="C458" s="46"/>
      <c r="D458" s="46"/>
      <c r="E458" s="46"/>
      <c r="F458" s="46"/>
      <c r="G458" s="46"/>
      <c r="H458" s="46"/>
      <c r="I458" s="46"/>
      <c r="J458" s="46"/>
      <c r="K458" s="46"/>
      <c r="L458" s="51"/>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51"/>
      <c r="BB458" s="46"/>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46"/>
      <c r="BZ458" s="46"/>
      <c r="CA458" s="46"/>
      <c r="CB458" s="46"/>
      <c r="CC458" s="46"/>
      <c r="CD458" s="46"/>
      <c r="CE458" s="46"/>
      <c r="CF458" s="46"/>
      <c r="CG458" s="46"/>
      <c r="CH458" s="46"/>
      <c r="CI458" s="46"/>
      <c r="CJ458" s="46"/>
      <c r="CK458" s="46"/>
      <c r="CL458" s="46"/>
      <c r="CM458" s="46"/>
      <c r="CN458" s="46"/>
    </row>
    <row r="459">
      <c r="A459" s="46"/>
      <c r="B459" s="46"/>
      <c r="C459" s="46"/>
      <c r="D459" s="46"/>
      <c r="E459" s="46"/>
      <c r="F459" s="46"/>
      <c r="G459" s="46"/>
      <c r="H459" s="46"/>
      <c r="I459" s="46"/>
      <c r="J459" s="46"/>
      <c r="K459" s="46"/>
      <c r="L459" s="51"/>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51"/>
      <c r="BB459" s="46"/>
      <c r="BC459" s="46"/>
      <c r="BD459" s="46"/>
      <c r="BE459" s="46"/>
      <c r="BF459" s="46"/>
      <c r="BG459" s="46"/>
      <c r="BH459" s="46"/>
      <c r="BI459" s="46"/>
      <c r="BJ459" s="46"/>
      <c r="BK459" s="46"/>
      <c r="BL459" s="46"/>
      <c r="BM459" s="46"/>
      <c r="BN459" s="46"/>
      <c r="BO459" s="46"/>
      <c r="BP459" s="46"/>
      <c r="BQ459" s="46"/>
      <c r="BR459" s="46"/>
      <c r="BS459" s="46"/>
      <c r="BT459" s="46"/>
      <c r="BU459" s="46"/>
      <c r="BV459" s="46"/>
      <c r="BW459" s="46"/>
      <c r="BX459" s="46"/>
      <c r="BY459" s="46"/>
      <c r="BZ459" s="46"/>
      <c r="CA459" s="46"/>
      <c r="CB459" s="46"/>
      <c r="CC459" s="46"/>
      <c r="CD459" s="46"/>
      <c r="CE459" s="46"/>
      <c r="CF459" s="46"/>
      <c r="CG459" s="46"/>
      <c r="CH459" s="46"/>
      <c r="CI459" s="46"/>
      <c r="CJ459" s="46"/>
      <c r="CK459" s="46"/>
      <c r="CL459" s="46"/>
      <c r="CM459" s="46"/>
      <c r="CN459" s="46"/>
    </row>
    <row r="460">
      <c r="A460" s="46"/>
      <c r="B460" s="46"/>
      <c r="C460" s="46"/>
      <c r="D460" s="46"/>
      <c r="E460" s="46"/>
      <c r="F460" s="46"/>
      <c r="G460" s="46"/>
      <c r="H460" s="46"/>
      <c r="I460" s="46"/>
      <c r="J460" s="46"/>
      <c r="K460" s="46"/>
      <c r="L460" s="51"/>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51"/>
      <c r="BB460" s="46"/>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46"/>
      <c r="BZ460" s="46"/>
      <c r="CA460" s="46"/>
      <c r="CB460" s="46"/>
      <c r="CC460" s="46"/>
      <c r="CD460" s="46"/>
      <c r="CE460" s="46"/>
      <c r="CF460" s="46"/>
      <c r="CG460" s="46"/>
      <c r="CH460" s="46"/>
      <c r="CI460" s="46"/>
      <c r="CJ460" s="46"/>
      <c r="CK460" s="46"/>
      <c r="CL460" s="46"/>
      <c r="CM460" s="46"/>
      <c r="CN460" s="46"/>
    </row>
    <row r="461">
      <c r="A461" s="46"/>
      <c r="B461" s="46"/>
      <c r="C461" s="46"/>
      <c r="D461" s="46"/>
      <c r="E461" s="46"/>
      <c r="F461" s="46"/>
      <c r="G461" s="46"/>
      <c r="H461" s="46"/>
      <c r="I461" s="46"/>
      <c r="J461" s="46"/>
      <c r="K461" s="46"/>
      <c r="L461" s="51"/>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51"/>
      <c r="BB461" s="46"/>
      <c r="BC461" s="46"/>
      <c r="BD461" s="46"/>
      <c r="BE461" s="46"/>
      <c r="BF461" s="46"/>
      <c r="BG461" s="46"/>
      <c r="BH461" s="46"/>
      <c r="BI461" s="46"/>
      <c r="BJ461" s="46"/>
      <c r="BK461" s="46"/>
      <c r="BL461" s="46"/>
      <c r="BM461" s="46"/>
      <c r="BN461" s="46"/>
      <c r="BO461" s="46"/>
      <c r="BP461" s="46"/>
      <c r="BQ461" s="46"/>
      <c r="BR461" s="46"/>
      <c r="BS461" s="46"/>
      <c r="BT461" s="46"/>
      <c r="BU461" s="46"/>
      <c r="BV461" s="46"/>
      <c r="BW461" s="46"/>
      <c r="BX461" s="46"/>
      <c r="BY461" s="46"/>
      <c r="BZ461" s="46"/>
      <c r="CA461" s="46"/>
      <c r="CB461" s="46"/>
      <c r="CC461" s="46"/>
      <c r="CD461" s="46"/>
      <c r="CE461" s="46"/>
      <c r="CF461" s="46"/>
      <c r="CG461" s="46"/>
      <c r="CH461" s="46"/>
      <c r="CI461" s="46"/>
      <c r="CJ461" s="46"/>
      <c r="CK461" s="46"/>
      <c r="CL461" s="46"/>
      <c r="CM461" s="46"/>
      <c r="CN461" s="46"/>
    </row>
    <row r="462">
      <c r="A462" s="46"/>
      <c r="B462" s="46"/>
      <c r="C462" s="46"/>
      <c r="D462" s="46"/>
      <c r="E462" s="46"/>
      <c r="F462" s="46"/>
      <c r="G462" s="46"/>
      <c r="H462" s="46"/>
      <c r="I462" s="46"/>
      <c r="J462" s="46"/>
      <c r="K462" s="46"/>
      <c r="L462" s="51"/>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51"/>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46"/>
      <c r="BZ462" s="46"/>
      <c r="CA462" s="46"/>
      <c r="CB462" s="46"/>
      <c r="CC462" s="46"/>
      <c r="CD462" s="46"/>
      <c r="CE462" s="46"/>
      <c r="CF462" s="46"/>
      <c r="CG462" s="46"/>
      <c r="CH462" s="46"/>
      <c r="CI462" s="46"/>
      <c r="CJ462" s="46"/>
      <c r="CK462" s="46"/>
      <c r="CL462" s="46"/>
      <c r="CM462" s="46"/>
      <c r="CN462" s="46"/>
    </row>
    <row r="463">
      <c r="A463" s="46"/>
      <c r="B463" s="46"/>
      <c r="C463" s="46"/>
      <c r="D463" s="46"/>
      <c r="E463" s="46"/>
      <c r="F463" s="46"/>
      <c r="G463" s="46"/>
      <c r="H463" s="46"/>
      <c r="I463" s="46"/>
      <c r="J463" s="46"/>
      <c r="K463" s="46"/>
      <c r="L463" s="51"/>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51"/>
      <c r="BB463" s="46"/>
      <c r="BC463" s="46"/>
      <c r="BD463" s="46"/>
      <c r="BE463" s="46"/>
      <c r="BF463" s="46"/>
      <c r="BG463" s="46"/>
      <c r="BH463" s="46"/>
      <c r="BI463" s="46"/>
      <c r="BJ463" s="46"/>
      <c r="BK463" s="46"/>
      <c r="BL463" s="46"/>
      <c r="BM463" s="46"/>
      <c r="BN463" s="46"/>
      <c r="BO463" s="46"/>
      <c r="BP463" s="46"/>
      <c r="BQ463" s="46"/>
      <c r="BR463" s="46"/>
      <c r="BS463" s="46"/>
      <c r="BT463" s="46"/>
      <c r="BU463" s="46"/>
      <c r="BV463" s="46"/>
      <c r="BW463" s="46"/>
      <c r="BX463" s="46"/>
      <c r="BY463" s="46"/>
      <c r="BZ463" s="46"/>
      <c r="CA463" s="46"/>
      <c r="CB463" s="46"/>
      <c r="CC463" s="46"/>
      <c r="CD463" s="46"/>
      <c r="CE463" s="46"/>
      <c r="CF463" s="46"/>
      <c r="CG463" s="46"/>
      <c r="CH463" s="46"/>
      <c r="CI463" s="46"/>
      <c r="CJ463" s="46"/>
      <c r="CK463" s="46"/>
      <c r="CL463" s="46"/>
      <c r="CM463" s="46"/>
      <c r="CN463" s="46"/>
    </row>
    <row r="464">
      <c r="A464" s="46"/>
      <c r="B464" s="46"/>
      <c r="C464" s="46"/>
      <c r="D464" s="46"/>
      <c r="E464" s="46"/>
      <c r="F464" s="46"/>
      <c r="G464" s="46"/>
      <c r="H464" s="46"/>
      <c r="I464" s="46"/>
      <c r="J464" s="46"/>
      <c r="K464" s="46"/>
      <c r="L464" s="51"/>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51"/>
      <c r="BB464" s="46"/>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46"/>
      <c r="BZ464" s="46"/>
      <c r="CA464" s="46"/>
      <c r="CB464" s="46"/>
      <c r="CC464" s="46"/>
      <c r="CD464" s="46"/>
      <c r="CE464" s="46"/>
      <c r="CF464" s="46"/>
      <c r="CG464" s="46"/>
      <c r="CH464" s="46"/>
      <c r="CI464" s="46"/>
      <c r="CJ464" s="46"/>
      <c r="CK464" s="46"/>
      <c r="CL464" s="46"/>
      <c r="CM464" s="46"/>
      <c r="CN464" s="46"/>
    </row>
    <row r="465">
      <c r="A465" s="46"/>
      <c r="B465" s="46"/>
      <c r="C465" s="46"/>
      <c r="D465" s="46"/>
      <c r="E465" s="46"/>
      <c r="F465" s="46"/>
      <c r="G465" s="46"/>
      <c r="H465" s="46"/>
      <c r="I465" s="46"/>
      <c r="J465" s="46"/>
      <c r="K465" s="46"/>
      <c r="L465" s="51"/>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51"/>
      <c r="BB465" s="46"/>
      <c r="BC465" s="46"/>
      <c r="BD465" s="46"/>
      <c r="BE465" s="46"/>
      <c r="BF465" s="46"/>
      <c r="BG465" s="46"/>
      <c r="BH465" s="46"/>
      <c r="BI465" s="46"/>
      <c r="BJ465" s="46"/>
      <c r="BK465" s="46"/>
      <c r="BL465" s="46"/>
      <c r="BM465" s="46"/>
      <c r="BN465" s="46"/>
      <c r="BO465" s="46"/>
      <c r="BP465" s="46"/>
      <c r="BQ465" s="46"/>
      <c r="BR465" s="46"/>
      <c r="BS465" s="46"/>
      <c r="BT465" s="46"/>
      <c r="BU465" s="46"/>
      <c r="BV465" s="46"/>
      <c r="BW465" s="46"/>
      <c r="BX465" s="46"/>
      <c r="BY465" s="46"/>
      <c r="BZ465" s="46"/>
      <c r="CA465" s="46"/>
      <c r="CB465" s="46"/>
      <c r="CC465" s="46"/>
      <c r="CD465" s="46"/>
      <c r="CE465" s="46"/>
      <c r="CF465" s="46"/>
      <c r="CG465" s="46"/>
      <c r="CH465" s="46"/>
      <c r="CI465" s="46"/>
      <c r="CJ465" s="46"/>
      <c r="CK465" s="46"/>
      <c r="CL465" s="46"/>
      <c r="CM465" s="46"/>
      <c r="CN465" s="46"/>
    </row>
    <row r="466">
      <c r="A466" s="46"/>
      <c r="B466" s="46"/>
      <c r="C466" s="46"/>
      <c r="D466" s="46"/>
      <c r="E466" s="46"/>
      <c r="F466" s="46"/>
      <c r="G466" s="46"/>
      <c r="H466" s="46"/>
      <c r="I466" s="46"/>
      <c r="J466" s="46"/>
      <c r="K466" s="46"/>
      <c r="L466" s="51"/>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51"/>
      <c r="BB466" s="46"/>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46"/>
      <c r="BZ466" s="46"/>
      <c r="CA466" s="46"/>
      <c r="CB466" s="46"/>
      <c r="CC466" s="46"/>
      <c r="CD466" s="46"/>
      <c r="CE466" s="46"/>
      <c r="CF466" s="46"/>
      <c r="CG466" s="46"/>
      <c r="CH466" s="46"/>
      <c r="CI466" s="46"/>
      <c r="CJ466" s="46"/>
      <c r="CK466" s="46"/>
      <c r="CL466" s="46"/>
      <c r="CM466" s="46"/>
      <c r="CN466" s="46"/>
    </row>
    <row r="467">
      <c r="A467" s="46"/>
      <c r="B467" s="46"/>
      <c r="C467" s="46"/>
      <c r="D467" s="46"/>
      <c r="E467" s="46"/>
      <c r="F467" s="46"/>
      <c r="G467" s="46"/>
      <c r="H467" s="46"/>
      <c r="I467" s="46"/>
      <c r="J467" s="46"/>
      <c r="K467" s="46"/>
      <c r="L467" s="51"/>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51"/>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c r="BY467" s="46"/>
      <c r="BZ467" s="46"/>
      <c r="CA467" s="46"/>
      <c r="CB467" s="46"/>
      <c r="CC467" s="46"/>
      <c r="CD467" s="46"/>
      <c r="CE467" s="46"/>
      <c r="CF467" s="46"/>
      <c r="CG467" s="46"/>
      <c r="CH467" s="46"/>
      <c r="CI467" s="46"/>
      <c r="CJ467" s="46"/>
      <c r="CK467" s="46"/>
      <c r="CL467" s="46"/>
      <c r="CM467" s="46"/>
      <c r="CN467" s="46"/>
    </row>
    <row r="468">
      <c r="A468" s="46"/>
      <c r="B468" s="46"/>
      <c r="C468" s="46"/>
      <c r="D468" s="46"/>
      <c r="E468" s="46"/>
      <c r="F468" s="46"/>
      <c r="G468" s="46"/>
      <c r="H468" s="46"/>
      <c r="I468" s="46"/>
      <c r="J468" s="46"/>
      <c r="K468" s="46"/>
      <c r="L468" s="51"/>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51"/>
      <c r="BB468" s="46"/>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46"/>
      <c r="BZ468" s="46"/>
      <c r="CA468" s="46"/>
      <c r="CB468" s="46"/>
      <c r="CC468" s="46"/>
      <c r="CD468" s="46"/>
      <c r="CE468" s="46"/>
      <c r="CF468" s="46"/>
      <c r="CG468" s="46"/>
      <c r="CH468" s="46"/>
      <c r="CI468" s="46"/>
      <c r="CJ468" s="46"/>
      <c r="CK468" s="46"/>
      <c r="CL468" s="46"/>
      <c r="CM468" s="46"/>
      <c r="CN468" s="46"/>
    </row>
    <row r="469">
      <c r="A469" s="46"/>
      <c r="B469" s="46"/>
      <c r="C469" s="46"/>
      <c r="D469" s="46"/>
      <c r="E469" s="46"/>
      <c r="F469" s="46"/>
      <c r="G469" s="46"/>
      <c r="H469" s="46"/>
      <c r="I469" s="46"/>
      <c r="J469" s="46"/>
      <c r="K469" s="46"/>
      <c r="L469" s="51"/>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51"/>
      <c r="BB469" s="46"/>
      <c r="BC469" s="46"/>
      <c r="BD469" s="46"/>
      <c r="BE469" s="46"/>
      <c r="BF469" s="46"/>
      <c r="BG469" s="46"/>
      <c r="BH469" s="46"/>
      <c r="BI469" s="46"/>
      <c r="BJ469" s="46"/>
      <c r="BK469" s="46"/>
      <c r="BL469" s="46"/>
      <c r="BM469" s="46"/>
      <c r="BN469" s="46"/>
      <c r="BO469" s="46"/>
      <c r="BP469" s="46"/>
      <c r="BQ469" s="46"/>
      <c r="BR469" s="46"/>
      <c r="BS469" s="46"/>
      <c r="BT469" s="46"/>
      <c r="BU469" s="46"/>
      <c r="BV469" s="46"/>
      <c r="BW469" s="46"/>
      <c r="BX469" s="46"/>
      <c r="BY469" s="46"/>
      <c r="BZ469" s="46"/>
      <c r="CA469" s="46"/>
      <c r="CB469" s="46"/>
      <c r="CC469" s="46"/>
      <c r="CD469" s="46"/>
      <c r="CE469" s="46"/>
      <c r="CF469" s="46"/>
      <c r="CG469" s="46"/>
      <c r="CH469" s="46"/>
      <c r="CI469" s="46"/>
      <c r="CJ469" s="46"/>
      <c r="CK469" s="46"/>
      <c r="CL469" s="46"/>
      <c r="CM469" s="46"/>
      <c r="CN469" s="46"/>
    </row>
    <row r="470">
      <c r="A470" s="46"/>
      <c r="B470" s="46"/>
      <c r="C470" s="46"/>
      <c r="D470" s="46"/>
      <c r="E470" s="46"/>
      <c r="F470" s="46"/>
      <c r="G470" s="46"/>
      <c r="H470" s="46"/>
      <c r="I470" s="46"/>
      <c r="J470" s="46"/>
      <c r="K470" s="46"/>
      <c r="L470" s="51"/>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51"/>
      <c r="BB470" s="46"/>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46"/>
      <c r="BZ470" s="46"/>
      <c r="CA470" s="46"/>
      <c r="CB470" s="46"/>
      <c r="CC470" s="46"/>
      <c r="CD470" s="46"/>
      <c r="CE470" s="46"/>
      <c r="CF470" s="46"/>
      <c r="CG470" s="46"/>
      <c r="CH470" s="46"/>
      <c r="CI470" s="46"/>
      <c r="CJ470" s="46"/>
      <c r="CK470" s="46"/>
      <c r="CL470" s="46"/>
      <c r="CM470" s="46"/>
      <c r="CN470" s="46"/>
    </row>
    <row r="471">
      <c r="A471" s="46"/>
      <c r="B471" s="46"/>
      <c r="C471" s="46"/>
      <c r="D471" s="46"/>
      <c r="E471" s="46"/>
      <c r="F471" s="46"/>
      <c r="G471" s="46"/>
      <c r="H471" s="46"/>
      <c r="I471" s="46"/>
      <c r="J471" s="46"/>
      <c r="K471" s="46"/>
      <c r="L471" s="51"/>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51"/>
      <c r="BB471" s="46"/>
      <c r="BC471" s="46"/>
      <c r="BD471" s="46"/>
      <c r="BE471" s="46"/>
      <c r="BF471" s="46"/>
      <c r="BG471" s="46"/>
      <c r="BH471" s="46"/>
      <c r="BI471" s="46"/>
      <c r="BJ471" s="46"/>
      <c r="BK471" s="46"/>
      <c r="BL471" s="46"/>
      <c r="BM471" s="46"/>
      <c r="BN471" s="46"/>
      <c r="BO471" s="46"/>
      <c r="BP471" s="46"/>
      <c r="BQ471" s="46"/>
      <c r="BR471" s="46"/>
      <c r="BS471" s="46"/>
      <c r="BT471" s="46"/>
      <c r="BU471" s="46"/>
      <c r="BV471" s="46"/>
      <c r="BW471" s="46"/>
      <c r="BX471" s="46"/>
      <c r="BY471" s="46"/>
      <c r="BZ471" s="46"/>
      <c r="CA471" s="46"/>
      <c r="CB471" s="46"/>
      <c r="CC471" s="46"/>
      <c r="CD471" s="46"/>
      <c r="CE471" s="46"/>
      <c r="CF471" s="46"/>
      <c r="CG471" s="46"/>
      <c r="CH471" s="46"/>
      <c r="CI471" s="46"/>
      <c r="CJ471" s="46"/>
      <c r="CK471" s="46"/>
      <c r="CL471" s="46"/>
      <c r="CM471" s="46"/>
      <c r="CN471" s="46"/>
    </row>
    <row r="472">
      <c r="A472" s="46"/>
      <c r="B472" s="46"/>
      <c r="C472" s="46"/>
      <c r="D472" s="46"/>
      <c r="E472" s="46"/>
      <c r="F472" s="46"/>
      <c r="G472" s="46"/>
      <c r="H472" s="46"/>
      <c r="I472" s="46"/>
      <c r="J472" s="46"/>
      <c r="K472" s="46"/>
      <c r="L472" s="51"/>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51"/>
      <c r="BB472" s="46"/>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46"/>
      <c r="BZ472" s="46"/>
      <c r="CA472" s="46"/>
      <c r="CB472" s="46"/>
      <c r="CC472" s="46"/>
      <c r="CD472" s="46"/>
      <c r="CE472" s="46"/>
      <c r="CF472" s="46"/>
      <c r="CG472" s="46"/>
      <c r="CH472" s="46"/>
      <c r="CI472" s="46"/>
      <c r="CJ472" s="46"/>
      <c r="CK472" s="46"/>
      <c r="CL472" s="46"/>
      <c r="CM472" s="46"/>
      <c r="CN472" s="46"/>
    </row>
    <row r="473">
      <c r="A473" s="46"/>
      <c r="B473" s="46"/>
      <c r="C473" s="46"/>
      <c r="D473" s="46"/>
      <c r="E473" s="46"/>
      <c r="F473" s="46"/>
      <c r="G473" s="46"/>
      <c r="H473" s="46"/>
      <c r="I473" s="46"/>
      <c r="J473" s="46"/>
      <c r="K473" s="46"/>
      <c r="L473" s="51"/>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51"/>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6"/>
      <c r="BY473" s="46"/>
      <c r="BZ473" s="46"/>
      <c r="CA473" s="46"/>
      <c r="CB473" s="46"/>
      <c r="CC473" s="46"/>
      <c r="CD473" s="46"/>
      <c r="CE473" s="46"/>
      <c r="CF473" s="46"/>
      <c r="CG473" s="46"/>
      <c r="CH473" s="46"/>
      <c r="CI473" s="46"/>
      <c r="CJ473" s="46"/>
      <c r="CK473" s="46"/>
      <c r="CL473" s="46"/>
      <c r="CM473" s="46"/>
      <c r="CN473" s="46"/>
    </row>
    <row r="474">
      <c r="A474" s="46"/>
      <c r="B474" s="46"/>
      <c r="C474" s="46"/>
      <c r="D474" s="46"/>
      <c r="E474" s="46"/>
      <c r="F474" s="46"/>
      <c r="G474" s="46"/>
      <c r="H474" s="46"/>
      <c r="I474" s="46"/>
      <c r="J474" s="46"/>
      <c r="K474" s="46"/>
      <c r="L474" s="51"/>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51"/>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46"/>
      <c r="BZ474" s="46"/>
      <c r="CA474" s="46"/>
      <c r="CB474" s="46"/>
      <c r="CC474" s="46"/>
      <c r="CD474" s="46"/>
      <c r="CE474" s="46"/>
      <c r="CF474" s="46"/>
      <c r="CG474" s="46"/>
      <c r="CH474" s="46"/>
      <c r="CI474" s="46"/>
      <c r="CJ474" s="46"/>
      <c r="CK474" s="46"/>
      <c r="CL474" s="46"/>
      <c r="CM474" s="46"/>
      <c r="CN474" s="46"/>
    </row>
    <row r="475">
      <c r="A475" s="46"/>
      <c r="B475" s="46"/>
      <c r="C475" s="46"/>
      <c r="D475" s="46"/>
      <c r="E475" s="46"/>
      <c r="F475" s="46"/>
      <c r="G475" s="46"/>
      <c r="H475" s="46"/>
      <c r="I475" s="46"/>
      <c r="J475" s="46"/>
      <c r="K475" s="46"/>
      <c r="L475" s="51"/>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51"/>
      <c r="BB475" s="46"/>
      <c r="BC475" s="46"/>
      <c r="BD475" s="46"/>
      <c r="BE475" s="46"/>
      <c r="BF475" s="46"/>
      <c r="BG475" s="46"/>
      <c r="BH475" s="46"/>
      <c r="BI475" s="46"/>
      <c r="BJ475" s="46"/>
      <c r="BK475" s="46"/>
      <c r="BL475" s="46"/>
      <c r="BM475" s="46"/>
      <c r="BN475" s="46"/>
      <c r="BO475" s="46"/>
      <c r="BP475" s="46"/>
      <c r="BQ475" s="46"/>
      <c r="BR475" s="46"/>
      <c r="BS475" s="46"/>
      <c r="BT475" s="46"/>
      <c r="BU475" s="46"/>
      <c r="BV475" s="46"/>
      <c r="BW475" s="46"/>
      <c r="BX475" s="46"/>
      <c r="BY475" s="46"/>
      <c r="BZ475" s="46"/>
      <c r="CA475" s="46"/>
      <c r="CB475" s="46"/>
      <c r="CC475" s="46"/>
      <c r="CD475" s="46"/>
      <c r="CE475" s="46"/>
      <c r="CF475" s="46"/>
      <c r="CG475" s="46"/>
      <c r="CH475" s="46"/>
      <c r="CI475" s="46"/>
      <c r="CJ475" s="46"/>
      <c r="CK475" s="46"/>
      <c r="CL475" s="46"/>
      <c r="CM475" s="46"/>
      <c r="CN475" s="46"/>
    </row>
    <row r="476">
      <c r="A476" s="46"/>
      <c r="B476" s="46"/>
      <c r="C476" s="46"/>
      <c r="D476" s="46"/>
      <c r="E476" s="46"/>
      <c r="F476" s="46"/>
      <c r="G476" s="46"/>
      <c r="H476" s="46"/>
      <c r="I476" s="46"/>
      <c r="J476" s="46"/>
      <c r="K476" s="46"/>
      <c r="L476" s="51"/>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51"/>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c r="CD476" s="46"/>
      <c r="CE476" s="46"/>
      <c r="CF476" s="46"/>
      <c r="CG476" s="46"/>
      <c r="CH476" s="46"/>
      <c r="CI476" s="46"/>
      <c r="CJ476" s="46"/>
      <c r="CK476" s="46"/>
      <c r="CL476" s="46"/>
      <c r="CM476" s="46"/>
      <c r="CN476" s="46"/>
    </row>
    <row r="477">
      <c r="A477" s="46"/>
      <c r="B477" s="46"/>
      <c r="C477" s="46"/>
      <c r="D477" s="46"/>
      <c r="E477" s="46"/>
      <c r="F477" s="46"/>
      <c r="G477" s="46"/>
      <c r="H477" s="46"/>
      <c r="I477" s="46"/>
      <c r="J477" s="46"/>
      <c r="K477" s="46"/>
      <c r="L477" s="51"/>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51"/>
      <c r="BB477" s="46"/>
      <c r="BC477" s="46"/>
      <c r="BD477" s="46"/>
      <c r="BE477" s="46"/>
      <c r="BF477" s="46"/>
      <c r="BG477" s="46"/>
      <c r="BH477" s="46"/>
      <c r="BI477" s="46"/>
      <c r="BJ477" s="46"/>
      <c r="BK477" s="46"/>
      <c r="BL477" s="46"/>
      <c r="BM477" s="46"/>
      <c r="BN477" s="46"/>
      <c r="BO477" s="46"/>
      <c r="BP477" s="46"/>
      <c r="BQ477" s="46"/>
      <c r="BR477" s="46"/>
      <c r="BS477" s="46"/>
      <c r="BT477" s="46"/>
      <c r="BU477" s="46"/>
      <c r="BV477" s="46"/>
      <c r="BW477" s="46"/>
      <c r="BX477" s="46"/>
      <c r="BY477" s="46"/>
      <c r="BZ477" s="46"/>
      <c r="CA477" s="46"/>
      <c r="CB477" s="46"/>
      <c r="CC477" s="46"/>
      <c r="CD477" s="46"/>
      <c r="CE477" s="46"/>
      <c r="CF477" s="46"/>
      <c r="CG477" s="46"/>
      <c r="CH477" s="46"/>
      <c r="CI477" s="46"/>
      <c r="CJ477" s="46"/>
      <c r="CK477" s="46"/>
      <c r="CL477" s="46"/>
      <c r="CM477" s="46"/>
      <c r="CN477" s="46"/>
    </row>
    <row r="478">
      <c r="A478" s="46"/>
      <c r="B478" s="46"/>
      <c r="C478" s="46"/>
      <c r="D478" s="46"/>
      <c r="E478" s="46"/>
      <c r="F478" s="46"/>
      <c r="G478" s="46"/>
      <c r="H478" s="46"/>
      <c r="I478" s="46"/>
      <c r="J478" s="46"/>
      <c r="K478" s="46"/>
      <c r="L478" s="51"/>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51"/>
      <c r="BB478" s="46"/>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46"/>
      <c r="BZ478" s="46"/>
      <c r="CA478" s="46"/>
      <c r="CB478" s="46"/>
      <c r="CC478" s="46"/>
      <c r="CD478" s="46"/>
      <c r="CE478" s="46"/>
      <c r="CF478" s="46"/>
      <c r="CG478" s="46"/>
      <c r="CH478" s="46"/>
      <c r="CI478" s="46"/>
      <c r="CJ478" s="46"/>
      <c r="CK478" s="46"/>
      <c r="CL478" s="46"/>
      <c r="CM478" s="46"/>
      <c r="CN478" s="46"/>
    </row>
    <row r="479">
      <c r="A479" s="46"/>
      <c r="B479" s="46"/>
      <c r="C479" s="46"/>
      <c r="D479" s="46"/>
      <c r="E479" s="46"/>
      <c r="F479" s="46"/>
      <c r="G479" s="46"/>
      <c r="H479" s="46"/>
      <c r="I479" s="46"/>
      <c r="J479" s="46"/>
      <c r="K479" s="46"/>
      <c r="L479" s="51"/>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51"/>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c r="BY479" s="46"/>
      <c r="BZ479" s="46"/>
      <c r="CA479" s="46"/>
      <c r="CB479" s="46"/>
      <c r="CC479" s="46"/>
      <c r="CD479" s="46"/>
      <c r="CE479" s="46"/>
      <c r="CF479" s="46"/>
      <c r="CG479" s="46"/>
      <c r="CH479" s="46"/>
      <c r="CI479" s="46"/>
      <c r="CJ479" s="46"/>
      <c r="CK479" s="46"/>
      <c r="CL479" s="46"/>
      <c r="CM479" s="46"/>
      <c r="CN479" s="46"/>
    </row>
    <row r="480">
      <c r="A480" s="46"/>
      <c r="B480" s="46"/>
      <c r="C480" s="46"/>
      <c r="D480" s="46"/>
      <c r="E480" s="46"/>
      <c r="F480" s="46"/>
      <c r="G480" s="46"/>
      <c r="H480" s="46"/>
      <c r="I480" s="46"/>
      <c r="J480" s="46"/>
      <c r="K480" s="46"/>
      <c r="L480" s="51"/>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51"/>
      <c r="BB480" s="46"/>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46"/>
      <c r="BZ480" s="46"/>
      <c r="CA480" s="46"/>
      <c r="CB480" s="46"/>
      <c r="CC480" s="46"/>
      <c r="CD480" s="46"/>
      <c r="CE480" s="46"/>
      <c r="CF480" s="46"/>
      <c r="CG480" s="46"/>
      <c r="CH480" s="46"/>
      <c r="CI480" s="46"/>
      <c r="CJ480" s="46"/>
      <c r="CK480" s="46"/>
      <c r="CL480" s="46"/>
      <c r="CM480" s="46"/>
      <c r="CN480" s="46"/>
    </row>
    <row r="481">
      <c r="A481" s="46"/>
      <c r="B481" s="46"/>
      <c r="C481" s="46"/>
      <c r="D481" s="46"/>
      <c r="E481" s="46"/>
      <c r="F481" s="46"/>
      <c r="G481" s="46"/>
      <c r="H481" s="46"/>
      <c r="I481" s="46"/>
      <c r="J481" s="46"/>
      <c r="K481" s="46"/>
      <c r="L481" s="51"/>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51"/>
      <c r="BB481" s="46"/>
      <c r="BC481" s="46"/>
      <c r="BD481" s="46"/>
      <c r="BE481" s="46"/>
      <c r="BF481" s="46"/>
      <c r="BG481" s="46"/>
      <c r="BH481" s="46"/>
      <c r="BI481" s="46"/>
      <c r="BJ481" s="46"/>
      <c r="BK481" s="46"/>
      <c r="BL481" s="46"/>
      <c r="BM481" s="46"/>
      <c r="BN481" s="46"/>
      <c r="BO481" s="46"/>
      <c r="BP481" s="46"/>
      <c r="BQ481" s="46"/>
      <c r="BR481" s="46"/>
      <c r="BS481" s="46"/>
      <c r="BT481" s="46"/>
      <c r="BU481" s="46"/>
      <c r="BV481" s="46"/>
      <c r="BW481" s="46"/>
      <c r="BX481" s="46"/>
      <c r="BY481" s="46"/>
      <c r="BZ481" s="46"/>
      <c r="CA481" s="46"/>
      <c r="CB481" s="46"/>
      <c r="CC481" s="46"/>
      <c r="CD481" s="46"/>
      <c r="CE481" s="46"/>
      <c r="CF481" s="46"/>
      <c r="CG481" s="46"/>
      <c r="CH481" s="46"/>
      <c r="CI481" s="46"/>
      <c r="CJ481" s="46"/>
      <c r="CK481" s="46"/>
      <c r="CL481" s="46"/>
      <c r="CM481" s="46"/>
      <c r="CN481" s="46"/>
    </row>
    <row r="482">
      <c r="A482" s="46"/>
      <c r="B482" s="46"/>
      <c r="C482" s="46"/>
      <c r="D482" s="46"/>
      <c r="E482" s="46"/>
      <c r="F482" s="46"/>
      <c r="G482" s="46"/>
      <c r="H482" s="46"/>
      <c r="I482" s="46"/>
      <c r="J482" s="46"/>
      <c r="K482" s="46"/>
      <c r="L482" s="51"/>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51"/>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46"/>
      <c r="BZ482" s="46"/>
      <c r="CA482" s="46"/>
      <c r="CB482" s="46"/>
      <c r="CC482" s="46"/>
      <c r="CD482" s="46"/>
      <c r="CE482" s="46"/>
      <c r="CF482" s="46"/>
      <c r="CG482" s="46"/>
      <c r="CH482" s="46"/>
      <c r="CI482" s="46"/>
      <c r="CJ482" s="46"/>
      <c r="CK482" s="46"/>
      <c r="CL482" s="46"/>
      <c r="CM482" s="46"/>
      <c r="CN482" s="46"/>
    </row>
    <row r="483">
      <c r="A483" s="46"/>
      <c r="B483" s="46"/>
      <c r="C483" s="46"/>
      <c r="D483" s="46"/>
      <c r="E483" s="46"/>
      <c r="F483" s="46"/>
      <c r="G483" s="46"/>
      <c r="H483" s="46"/>
      <c r="I483" s="46"/>
      <c r="J483" s="46"/>
      <c r="K483" s="46"/>
      <c r="L483" s="51"/>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51"/>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c r="BY483" s="46"/>
      <c r="BZ483" s="46"/>
      <c r="CA483" s="46"/>
      <c r="CB483" s="46"/>
      <c r="CC483" s="46"/>
      <c r="CD483" s="46"/>
      <c r="CE483" s="46"/>
      <c r="CF483" s="46"/>
      <c r="CG483" s="46"/>
      <c r="CH483" s="46"/>
      <c r="CI483" s="46"/>
      <c r="CJ483" s="46"/>
      <c r="CK483" s="46"/>
      <c r="CL483" s="46"/>
      <c r="CM483" s="46"/>
      <c r="CN483" s="46"/>
    </row>
    <row r="484">
      <c r="A484" s="46"/>
      <c r="B484" s="46"/>
      <c r="C484" s="46"/>
      <c r="D484" s="46"/>
      <c r="E484" s="46"/>
      <c r="F484" s="46"/>
      <c r="G484" s="46"/>
      <c r="H484" s="46"/>
      <c r="I484" s="46"/>
      <c r="J484" s="46"/>
      <c r="K484" s="46"/>
      <c r="L484" s="51"/>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51"/>
      <c r="BB484" s="46"/>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46"/>
      <c r="BZ484" s="46"/>
      <c r="CA484" s="46"/>
      <c r="CB484" s="46"/>
      <c r="CC484" s="46"/>
      <c r="CD484" s="46"/>
      <c r="CE484" s="46"/>
      <c r="CF484" s="46"/>
      <c r="CG484" s="46"/>
      <c r="CH484" s="46"/>
      <c r="CI484" s="46"/>
      <c r="CJ484" s="46"/>
      <c r="CK484" s="46"/>
      <c r="CL484" s="46"/>
      <c r="CM484" s="46"/>
      <c r="CN484" s="46"/>
    </row>
    <row r="485">
      <c r="A485" s="46"/>
      <c r="B485" s="46"/>
      <c r="C485" s="46"/>
      <c r="D485" s="46"/>
      <c r="E485" s="46"/>
      <c r="F485" s="46"/>
      <c r="G485" s="46"/>
      <c r="H485" s="46"/>
      <c r="I485" s="46"/>
      <c r="J485" s="46"/>
      <c r="K485" s="46"/>
      <c r="L485" s="51"/>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51"/>
      <c r="BB485" s="46"/>
      <c r="BC485" s="46"/>
      <c r="BD485" s="46"/>
      <c r="BE485" s="46"/>
      <c r="BF485" s="46"/>
      <c r="BG485" s="46"/>
      <c r="BH485" s="46"/>
      <c r="BI485" s="46"/>
      <c r="BJ485" s="46"/>
      <c r="BK485" s="46"/>
      <c r="BL485" s="46"/>
      <c r="BM485" s="46"/>
      <c r="BN485" s="46"/>
      <c r="BO485" s="46"/>
      <c r="BP485" s="46"/>
      <c r="BQ485" s="46"/>
      <c r="BR485" s="46"/>
      <c r="BS485" s="46"/>
      <c r="BT485" s="46"/>
      <c r="BU485" s="46"/>
      <c r="BV485" s="46"/>
      <c r="BW485" s="46"/>
      <c r="BX485" s="46"/>
      <c r="BY485" s="46"/>
      <c r="BZ485" s="46"/>
      <c r="CA485" s="46"/>
      <c r="CB485" s="46"/>
      <c r="CC485" s="46"/>
      <c r="CD485" s="46"/>
      <c r="CE485" s="46"/>
      <c r="CF485" s="46"/>
      <c r="CG485" s="46"/>
      <c r="CH485" s="46"/>
      <c r="CI485" s="46"/>
      <c r="CJ485" s="46"/>
      <c r="CK485" s="46"/>
      <c r="CL485" s="46"/>
      <c r="CM485" s="46"/>
      <c r="CN485" s="46"/>
    </row>
    <row r="486">
      <c r="A486" s="46"/>
      <c r="B486" s="46"/>
      <c r="C486" s="46"/>
      <c r="D486" s="46"/>
      <c r="E486" s="46"/>
      <c r="F486" s="46"/>
      <c r="G486" s="46"/>
      <c r="H486" s="46"/>
      <c r="I486" s="46"/>
      <c r="J486" s="46"/>
      <c r="K486" s="46"/>
      <c r="L486" s="51"/>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51"/>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46"/>
      <c r="BZ486" s="46"/>
      <c r="CA486" s="46"/>
      <c r="CB486" s="46"/>
      <c r="CC486" s="46"/>
      <c r="CD486" s="46"/>
      <c r="CE486" s="46"/>
      <c r="CF486" s="46"/>
      <c r="CG486" s="46"/>
      <c r="CH486" s="46"/>
      <c r="CI486" s="46"/>
      <c r="CJ486" s="46"/>
      <c r="CK486" s="46"/>
      <c r="CL486" s="46"/>
      <c r="CM486" s="46"/>
      <c r="CN486" s="46"/>
    </row>
    <row r="487">
      <c r="A487" s="46"/>
      <c r="B487" s="46"/>
      <c r="C487" s="46"/>
      <c r="D487" s="46"/>
      <c r="E487" s="46"/>
      <c r="F487" s="46"/>
      <c r="G487" s="46"/>
      <c r="H487" s="46"/>
      <c r="I487" s="46"/>
      <c r="J487" s="46"/>
      <c r="K487" s="46"/>
      <c r="L487" s="51"/>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51"/>
      <c r="BB487" s="46"/>
      <c r="BC487" s="46"/>
      <c r="BD487" s="46"/>
      <c r="BE487" s="46"/>
      <c r="BF487" s="46"/>
      <c r="BG487" s="46"/>
      <c r="BH487" s="46"/>
      <c r="BI487" s="46"/>
      <c r="BJ487" s="46"/>
      <c r="BK487" s="46"/>
      <c r="BL487" s="46"/>
      <c r="BM487" s="46"/>
      <c r="BN487" s="46"/>
      <c r="BO487" s="46"/>
      <c r="BP487" s="46"/>
      <c r="BQ487" s="46"/>
      <c r="BR487" s="46"/>
      <c r="BS487" s="46"/>
      <c r="BT487" s="46"/>
      <c r="BU487" s="46"/>
      <c r="BV487" s="46"/>
      <c r="BW487" s="46"/>
      <c r="BX487" s="46"/>
      <c r="BY487" s="46"/>
      <c r="BZ487" s="46"/>
      <c r="CA487" s="46"/>
      <c r="CB487" s="46"/>
      <c r="CC487" s="46"/>
      <c r="CD487" s="46"/>
      <c r="CE487" s="46"/>
      <c r="CF487" s="46"/>
      <c r="CG487" s="46"/>
      <c r="CH487" s="46"/>
      <c r="CI487" s="46"/>
      <c r="CJ487" s="46"/>
      <c r="CK487" s="46"/>
      <c r="CL487" s="46"/>
      <c r="CM487" s="46"/>
      <c r="CN487" s="46"/>
    </row>
    <row r="488">
      <c r="A488" s="46"/>
      <c r="B488" s="46"/>
      <c r="C488" s="46"/>
      <c r="D488" s="46"/>
      <c r="E488" s="46"/>
      <c r="F488" s="46"/>
      <c r="G488" s="46"/>
      <c r="H488" s="46"/>
      <c r="I488" s="46"/>
      <c r="J488" s="46"/>
      <c r="K488" s="46"/>
      <c r="L488" s="51"/>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51"/>
      <c r="BB488" s="46"/>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46"/>
      <c r="BZ488" s="46"/>
      <c r="CA488" s="46"/>
      <c r="CB488" s="46"/>
      <c r="CC488" s="46"/>
      <c r="CD488" s="46"/>
      <c r="CE488" s="46"/>
      <c r="CF488" s="46"/>
      <c r="CG488" s="46"/>
      <c r="CH488" s="46"/>
      <c r="CI488" s="46"/>
      <c r="CJ488" s="46"/>
      <c r="CK488" s="46"/>
      <c r="CL488" s="46"/>
      <c r="CM488" s="46"/>
      <c r="CN488" s="46"/>
    </row>
    <row r="489">
      <c r="A489" s="46"/>
      <c r="B489" s="46"/>
      <c r="C489" s="46"/>
      <c r="D489" s="46"/>
      <c r="E489" s="46"/>
      <c r="F489" s="46"/>
      <c r="G489" s="46"/>
      <c r="H489" s="46"/>
      <c r="I489" s="46"/>
      <c r="J489" s="46"/>
      <c r="K489" s="46"/>
      <c r="L489" s="51"/>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51"/>
      <c r="BB489" s="46"/>
      <c r="BC489" s="46"/>
      <c r="BD489" s="46"/>
      <c r="BE489" s="46"/>
      <c r="BF489" s="46"/>
      <c r="BG489" s="46"/>
      <c r="BH489" s="46"/>
      <c r="BI489" s="46"/>
      <c r="BJ489" s="46"/>
      <c r="BK489" s="46"/>
      <c r="BL489" s="46"/>
      <c r="BM489" s="46"/>
      <c r="BN489" s="46"/>
      <c r="BO489" s="46"/>
      <c r="BP489" s="46"/>
      <c r="BQ489" s="46"/>
      <c r="BR489" s="46"/>
      <c r="BS489" s="46"/>
      <c r="BT489" s="46"/>
      <c r="BU489" s="46"/>
      <c r="BV489" s="46"/>
      <c r="BW489" s="46"/>
      <c r="BX489" s="46"/>
      <c r="BY489" s="46"/>
      <c r="BZ489" s="46"/>
      <c r="CA489" s="46"/>
      <c r="CB489" s="46"/>
      <c r="CC489" s="46"/>
      <c r="CD489" s="46"/>
      <c r="CE489" s="46"/>
      <c r="CF489" s="46"/>
      <c r="CG489" s="46"/>
      <c r="CH489" s="46"/>
      <c r="CI489" s="46"/>
      <c r="CJ489" s="46"/>
      <c r="CK489" s="46"/>
      <c r="CL489" s="46"/>
      <c r="CM489" s="46"/>
      <c r="CN489" s="46"/>
    </row>
    <row r="490">
      <c r="A490" s="46"/>
      <c r="B490" s="46"/>
      <c r="C490" s="46"/>
      <c r="D490" s="46"/>
      <c r="E490" s="46"/>
      <c r="F490" s="46"/>
      <c r="G490" s="46"/>
      <c r="H490" s="46"/>
      <c r="I490" s="46"/>
      <c r="J490" s="46"/>
      <c r="K490" s="46"/>
      <c r="L490" s="51"/>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51"/>
      <c r="BB490" s="46"/>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46"/>
      <c r="BZ490" s="46"/>
      <c r="CA490" s="46"/>
      <c r="CB490" s="46"/>
      <c r="CC490" s="46"/>
      <c r="CD490" s="46"/>
      <c r="CE490" s="46"/>
      <c r="CF490" s="46"/>
      <c r="CG490" s="46"/>
      <c r="CH490" s="46"/>
      <c r="CI490" s="46"/>
      <c r="CJ490" s="46"/>
      <c r="CK490" s="46"/>
      <c r="CL490" s="46"/>
      <c r="CM490" s="46"/>
      <c r="CN490" s="46"/>
    </row>
    <row r="491">
      <c r="A491" s="46"/>
      <c r="B491" s="46"/>
      <c r="C491" s="46"/>
      <c r="D491" s="46"/>
      <c r="E491" s="46"/>
      <c r="F491" s="46"/>
      <c r="G491" s="46"/>
      <c r="H491" s="46"/>
      <c r="I491" s="46"/>
      <c r="J491" s="46"/>
      <c r="K491" s="46"/>
      <c r="L491" s="51"/>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51"/>
      <c r="BB491" s="46"/>
      <c r="BC491" s="46"/>
      <c r="BD491" s="46"/>
      <c r="BE491" s="46"/>
      <c r="BF491" s="46"/>
      <c r="BG491" s="46"/>
      <c r="BH491" s="46"/>
      <c r="BI491" s="46"/>
      <c r="BJ491" s="46"/>
      <c r="BK491" s="46"/>
      <c r="BL491" s="46"/>
      <c r="BM491" s="46"/>
      <c r="BN491" s="46"/>
      <c r="BO491" s="46"/>
      <c r="BP491" s="46"/>
      <c r="BQ491" s="46"/>
      <c r="BR491" s="46"/>
      <c r="BS491" s="46"/>
      <c r="BT491" s="46"/>
      <c r="BU491" s="46"/>
      <c r="BV491" s="46"/>
      <c r="BW491" s="46"/>
      <c r="BX491" s="46"/>
      <c r="BY491" s="46"/>
      <c r="BZ491" s="46"/>
      <c r="CA491" s="46"/>
      <c r="CB491" s="46"/>
      <c r="CC491" s="46"/>
      <c r="CD491" s="46"/>
      <c r="CE491" s="46"/>
      <c r="CF491" s="46"/>
      <c r="CG491" s="46"/>
      <c r="CH491" s="46"/>
      <c r="CI491" s="46"/>
      <c r="CJ491" s="46"/>
      <c r="CK491" s="46"/>
      <c r="CL491" s="46"/>
      <c r="CM491" s="46"/>
      <c r="CN491" s="46"/>
    </row>
    <row r="492">
      <c r="A492" s="46"/>
      <c r="B492" s="46"/>
      <c r="C492" s="46"/>
      <c r="D492" s="46"/>
      <c r="E492" s="46"/>
      <c r="F492" s="46"/>
      <c r="G492" s="46"/>
      <c r="H492" s="46"/>
      <c r="I492" s="46"/>
      <c r="J492" s="46"/>
      <c r="K492" s="46"/>
      <c r="L492" s="51"/>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51"/>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46"/>
      <c r="BZ492" s="46"/>
      <c r="CA492" s="46"/>
      <c r="CB492" s="46"/>
      <c r="CC492" s="46"/>
      <c r="CD492" s="46"/>
      <c r="CE492" s="46"/>
      <c r="CF492" s="46"/>
      <c r="CG492" s="46"/>
      <c r="CH492" s="46"/>
      <c r="CI492" s="46"/>
      <c r="CJ492" s="46"/>
      <c r="CK492" s="46"/>
      <c r="CL492" s="46"/>
      <c r="CM492" s="46"/>
      <c r="CN492" s="46"/>
    </row>
    <row r="493">
      <c r="A493" s="46"/>
      <c r="B493" s="46"/>
      <c r="C493" s="46"/>
      <c r="D493" s="46"/>
      <c r="E493" s="46"/>
      <c r="F493" s="46"/>
      <c r="G493" s="46"/>
      <c r="H493" s="46"/>
      <c r="I493" s="46"/>
      <c r="J493" s="46"/>
      <c r="K493" s="46"/>
      <c r="L493" s="51"/>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51"/>
      <c r="BB493" s="46"/>
      <c r="BC493" s="46"/>
      <c r="BD493" s="46"/>
      <c r="BE493" s="46"/>
      <c r="BF493" s="46"/>
      <c r="BG493" s="46"/>
      <c r="BH493" s="46"/>
      <c r="BI493" s="46"/>
      <c r="BJ493" s="46"/>
      <c r="BK493" s="46"/>
      <c r="BL493" s="46"/>
      <c r="BM493" s="46"/>
      <c r="BN493" s="46"/>
      <c r="BO493" s="46"/>
      <c r="BP493" s="46"/>
      <c r="BQ493" s="46"/>
      <c r="BR493" s="46"/>
      <c r="BS493" s="46"/>
      <c r="BT493" s="46"/>
      <c r="BU493" s="46"/>
      <c r="BV493" s="46"/>
      <c r="BW493" s="46"/>
      <c r="BX493" s="46"/>
      <c r="BY493" s="46"/>
      <c r="BZ493" s="46"/>
      <c r="CA493" s="46"/>
      <c r="CB493" s="46"/>
      <c r="CC493" s="46"/>
      <c r="CD493" s="46"/>
      <c r="CE493" s="46"/>
      <c r="CF493" s="46"/>
      <c r="CG493" s="46"/>
      <c r="CH493" s="46"/>
      <c r="CI493" s="46"/>
      <c r="CJ493" s="46"/>
      <c r="CK493" s="46"/>
      <c r="CL493" s="46"/>
      <c r="CM493" s="46"/>
      <c r="CN493" s="46"/>
    </row>
    <row r="494">
      <c r="A494" s="46"/>
      <c r="B494" s="46"/>
      <c r="C494" s="46"/>
      <c r="D494" s="46"/>
      <c r="E494" s="46"/>
      <c r="F494" s="46"/>
      <c r="G494" s="46"/>
      <c r="H494" s="46"/>
      <c r="I494" s="46"/>
      <c r="J494" s="46"/>
      <c r="K494" s="46"/>
      <c r="L494" s="51"/>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51"/>
      <c r="BB494" s="46"/>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46"/>
      <c r="BZ494" s="46"/>
      <c r="CA494" s="46"/>
      <c r="CB494" s="46"/>
      <c r="CC494" s="46"/>
      <c r="CD494" s="46"/>
      <c r="CE494" s="46"/>
      <c r="CF494" s="46"/>
      <c r="CG494" s="46"/>
      <c r="CH494" s="46"/>
      <c r="CI494" s="46"/>
      <c r="CJ494" s="46"/>
      <c r="CK494" s="46"/>
      <c r="CL494" s="46"/>
      <c r="CM494" s="46"/>
      <c r="CN494" s="46"/>
    </row>
    <row r="495">
      <c r="A495" s="46"/>
      <c r="B495" s="46"/>
      <c r="C495" s="46"/>
      <c r="D495" s="46"/>
      <c r="E495" s="46"/>
      <c r="F495" s="46"/>
      <c r="G495" s="46"/>
      <c r="H495" s="46"/>
      <c r="I495" s="46"/>
      <c r="J495" s="46"/>
      <c r="K495" s="46"/>
      <c r="L495" s="51"/>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51"/>
      <c r="BB495" s="46"/>
      <c r="BC495" s="46"/>
      <c r="BD495" s="46"/>
      <c r="BE495" s="46"/>
      <c r="BF495" s="46"/>
      <c r="BG495" s="46"/>
      <c r="BH495" s="46"/>
      <c r="BI495" s="46"/>
      <c r="BJ495" s="46"/>
      <c r="BK495" s="46"/>
      <c r="BL495" s="46"/>
      <c r="BM495" s="46"/>
      <c r="BN495" s="46"/>
      <c r="BO495" s="46"/>
      <c r="BP495" s="46"/>
      <c r="BQ495" s="46"/>
      <c r="BR495" s="46"/>
      <c r="BS495" s="46"/>
      <c r="BT495" s="46"/>
      <c r="BU495" s="46"/>
      <c r="BV495" s="46"/>
      <c r="BW495" s="46"/>
      <c r="BX495" s="46"/>
      <c r="BY495" s="46"/>
      <c r="BZ495" s="46"/>
      <c r="CA495" s="46"/>
      <c r="CB495" s="46"/>
      <c r="CC495" s="46"/>
      <c r="CD495" s="46"/>
      <c r="CE495" s="46"/>
      <c r="CF495" s="46"/>
      <c r="CG495" s="46"/>
      <c r="CH495" s="46"/>
      <c r="CI495" s="46"/>
      <c r="CJ495" s="46"/>
      <c r="CK495" s="46"/>
      <c r="CL495" s="46"/>
      <c r="CM495" s="46"/>
      <c r="CN495" s="46"/>
    </row>
    <row r="496">
      <c r="A496" s="46"/>
      <c r="B496" s="46"/>
      <c r="C496" s="46"/>
      <c r="D496" s="46"/>
      <c r="E496" s="46"/>
      <c r="F496" s="46"/>
      <c r="G496" s="46"/>
      <c r="H496" s="46"/>
      <c r="I496" s="46"/>
      <c r="J496" s="46"/>
      <c r="K496" s="46"/>
      <c r="L496" s="51"/>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51"/>
      <c r="BB496" s="46"/>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46"/>
      <c r="BZ496" s="46"/>
      <c r="CA496" s="46"/>
      <c r="CB496" s="46"/>
      <c r="CC496" s="46"/>
      <c r="CD496" s="46"/>
      <c r="CE496" s="46"/>
      <c r="CF496" s="46"/>
      <c r="CG496" s="46"/>
      <c r="CH496" s="46"/>
      <c r="CI496" s="46"/>
      <c r="CJ496" s="46"/>
      <c r="CK496" s="46"/>
      <c r="CL496" s="46"/>
      <c r="CM496" s="46"/>
      <c r="CN496" s="46"/>
    </row>
    <row r="497">
      <c r="A497" s="46"/>
      <c r="B497" s="46"/>
      <c r="C497" s="46"/>
      <c r="D497" s="46"/>
      <c r="E497" s="46"/>
      <c r="F497" s="46"/>
      <c r="G497" s="46"/>
      <c r="H497" s="46"/>
      <c r="I497" s="46"/>
      <c r="J497" s="46"/>
      <c r="K497" s="46"/>
      <c r="L497" s="51"/>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51"/>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46"/>
      <c r="BZ497" s="46"/>
      <c r="CA497" s="46"/>
      <c r="CB497" s="46"/>
      <c r="CC497" s="46"/>
      <c r="CD497" s="46"/>
      <c r="CE497" s="46"/>
      <c r="CF497" s="46"/>
      <c r="CG497" s="46"/>
      <c r="CH497" s="46"/>
      <c r="CI497" s="46"/>
      <c r="CJ497" s="46"/>
      <c r="CK497" s="46"/>
      <c r="CL497" s="46"/>
      <c r="CM497" s="46"/>
      <c r="CN497" s="46"/>
    </row>
    <row r="498">
      <c r="A498" s="46"/>
      <c r="B498" s="46"/>
      <c r="C498" s="46"/>
      <c r="D498" s="46"/>
      <c r="E498" s="46"/>
      <c r="F498" s="46"/>
      <c r="G498" s="46"/>
      <c r="H498" s="46"/>
      <c r="I498" s="46"/>
      <c r="J498" s="46"/>
      <c r="K498" s="46"/>
      <c r="L498" s="51"/>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51"/>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c r="CD498" s="46"/>
      <c r="CE498" s="46"/>
      <c r="CF498" s="46"/>
      <c r="CG498" s="46"/>
      <c r="CH498" s="46"/>
      <c r="CI498" s="46"/>
      <c r="CJ498" s="46"/>
      <c r="CK498" s="46"/>
      <c r="CL498" s="46"/>
      <c r="CM498" s="46"/>
      <c r="CN498" s="46"/>
    </row>
    <row r="499">
      <c r="A499" s="46"/>
      <c r="B499" s="46"/>
      <c r="C499" s="46"/>
      <c r="D499" s="46"/>
      <c r="E499" s="46"/>
      <c r="F499" s="46"/>
      <c r="G499" s="46"/>
      <c r="H499" s="46"/>
      <c r="I499" s="46"/>
      <c r="J499" s="46"/>
      <c r="K499" s="46"/>
      <c r="L499" s="51"/>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51"/>
      <c r="BB499" s="46"/>
      <c r="BC499" s="46"/>
      <c r="BD499" s="46"/>
      <c r="BE499" s="46"/>
      <c r="BF499" s="46"/>
      <c r="BG499" s="46"/>
      <c r="BH499" s="46"/>
      <c r="BI499" s="46"/>
      <c r="BJ499" s="46"/>
      <c r="BK499" s="46"/>
      <c r="BL499" s="46"/>
      <c r="BM499" s="46"/>
      <c r="BN499" s="46"/>
      <c r="BO499" s="46"/>
      <c r="BP499" s="46"/>
      <c r="BQ499" s="46"/>
      <c r="BR499" s="46"/>
      <c r="BS499" s="46"/>
      <c r="BT499" s="46"/>
      <c r="BU499" s="46"/>
      <c r="BV499" s="46"/>
      <c r="BW499" s="46"/>
      <c r="BX499" s="46"/>
      <c r="BY499" s="46"/>
      <c r="BZ499" s="46"/>
      <c r="CA499" s="46"/>
      <c r="CB499" s="46"/>
      <c r="CC499" s="46"/>
      <c r="CD499" s="46"/>
      <c r="CE499" s="46"/>
      <c r="CF499" s="46"/>
      <c r="CG499" s="46"/>
      <c r="CH499" s="46"/>
      <c r="CI499" s="46"/>
      <c r="CJ499" s="46"/>
      <c r="CK499" s="46"/>
      <c r="CL499" s="46"/>
      <c r="CM499" s="46"/>
      <c r="CN499" s="46"/>
    </row>
    <row r="500">
      <c r="A500" s="46"/>
      <c r="B500" s="46"/>
      <c r="C500" s="46"/>
      <c r="D500" s="46"/>
      <c r="E500" s="46"/>
      <c r="F500" s="46"/>
      <c r="G500" s="46"/>
      <c r="H500" s="46"/>
      <c r="I500" s="46"/>
      <c r="J500" s="46"/>
      <c r="K500" s="46"/>
      <c r="L500" s="51"/>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51"/>
      <c r="BB500" s="46"/>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46"/>
      <c r="BZ500" s="46"/>
      <c r="CA500" s="46"/>
      <c r="CB500" s="46"/>
      <c r="CC500" s="46"/>
      <c r="CD500" s="46"/>
      <c r="CE500" s="46"/>
      <c r="CF500" s="46"/>
      <c r="CG500" s="46"/>
      <c r="CH500" s="46"/>
      <c r="CI500" s="46"/>
      <c r="CJ500" s="46"/>
      <c r="CK500" s="46"/>
      <c r="CL500" s="46"/>
      <c r="CM500" s="46"/>
      <c r="CN500" s="46"/>
    </row>
    <row r="501">
      <c r="A501" s="46"/>
      <c r="B501" s="46"/>
      <c r="C501" s="46"/>
      <c r="D501" s="46"/>
      <c r="E501" s="46"/>
      <c r="F501" s="46"/>
      <c r="G501" s="46"/>
      <c r="H501" s="46"/>
      <c r="I501" s="46"/>
      <c r="J501" s="46"/>
      <c r="K501" s="46"/>
      <c r="L501" s="51"/>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51"/>
      <c r="BB501" s="46"/>
      <c r="BC501" s="46"/>
      <c r="BD501" s="46"/>
      <c r="BE501" s="46"/>
      <c r="BF501" s="46"/>
      <c r="BG501" s="46"/>
      <c r="BH501" s="46"/>
      <c r="BI501" s="46"/>
      <c r="BJ501" s="46"/>
      <c r="BK501" s="46"/>
      <c r="BL501" s="46"/>
      <c r="BM501" s="46"/>
      <c r="BN501" s="46"/>
      <c r="BO501" s="46"/>
      <c r="BP501" s="46"/>
      <c r="BQ501" s="46"/>
      <c r="BR501" s="46"/>
      <c r="BS501" s="46"/>
      <c r="BT501" s="46"/>
      <c r="BU501" s="46"/>
      <c r="BV501" s="46"/>
      <c r="BW501" s="46"/>
      <c r="BX501" s="46"/>
      <c r="BY501" s="46"/>
      <c r="BZ501" s="46"/>
      <c r="CA501" s="46"/>
      <c r="CB501" s="46"/>
      <c r="CC501" s="46"/>
      <c r="CD501" s="46"/>
      <c r="CE501" s="46"/>
      <c r="CF501" s="46"/>
      <c r="CG501" s="46"/>
      <c r="CH501" s="46"/>
      <c r="CI501" s="46"/>
      <c r="CJ501" s="46"/>
      <c r="CK501" s="46"/>
      <c r="CL501" s="46"/>
      <c r="CM501" s="46"/>
      <c r="CN501" s="46"/>
    </row>
    <row r="502">
      <c r="A502" s="46"/>
      <c r="B502" s="46"/>
      <c r="C502" s="46"/>
      <c r="D502" s="46"/>
      <c r="E502" s="46"/>
      <c r="F502" s="46"/>
      <c r="G502" s="46"/>
      <c r="H502" s="46"/>
      <c r="I502" s="46"/>
      <c r="J502" s="46"/>
      <c r="K502" s="46"/>
      <c r="L502" s="51"/>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51"/>
      <c r="BB502" s="46"/>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46"/>
      <c r="BZ502" s="46"/>
      <c r="CA502" s="46"/>
      <c r="CB502" s="46"/>
      <c r="CC502" s="46"/>
      <c r="CD502" s="46"/>
      <c r="CE502" s="46"/>
      <c r="CF502" s="46"/>
      <c r="CG502" s="46"/>
      <c r="CH502" s="46"/>
      <c r="CI502" s="46"/>
      <c r="CJ502" s="46"/>
      <c r="CK502" s="46"/>
      <c r="CL502" s="46"/>
      <c r="CM502" s="46"/>
      <c r="CN502" s="46"/>
    </row>
    <row r="503">
      <c r="A503" s="46"/>
      <c r="B503" s="46"/>
      <c r="C503" s="46"/>
      <c r="D503" s="46"/>
      <c r="E503" s="46"/>
      <c r="F503" s="46"/>
      <c r="G503" s="46"/>
      <c r="H503" s="46"/>
      <c r="I503" s="46"/>
      <c r="J503" s="46"/>
      <c r="K503" s="46"/>
      <c r="L503" s="51"/>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51"/>
      <c r="BB503" s="46"/>
      <c r="BC503" s="46"/>
      <c r="BD503" s="46"/>
      <c r="BE503" s="46"/>
      <c r="BF503" s="46"/>
      <c r="BG503" s="46"/>
      <c r="BH503" s="46"/>
      <c r="BI503" s="46"/>
      <c r="BJ503" s="46"/>
      <c r="BK503" s="46"/>
      <c r="BL503" s="46"/>
      <c r="BM503" s="46"/>
      <c r="BN503" s="46"/>
      <c r="BO503" s="46"/>
      <c r="BP503" s="46"/>
      <c r="BQ503" s="46"/>
      <c r="BR503" s="46"/>
      <c r="BS503" s="46"/>
      <c r="BT503" s="46"/>
      <c r="BU503" s="46"/>
      <c r="BV503" s="46"/>
      <c r="BW503" s="46"/>
      <c r="BX503" s="46"/>
      <c r="BY503" s="46"/>
      <c r="BZ503" s="46"/>
      <c r="CA503" s="46"/>
      <c r="CB503" s="46"/>
      <c r="CC503" s="46"/>
      <c r="CD503" s="46"/>
      <c r="CE503" s="46"/>
      <c r="CF503" s="46"/>
      <c r="CG503" s="46"/>
      <c r="CH503" s="46"/>
      <c r="CI503" s="46"/>
      <c r="CJ503" s="46"/>
      <c r="CK503" s="46"/>
      <c r="CL503" s="46"/>
      <c r="CM503" s="46"/>
      <c r="CN503" s="46"/>
    </row>
    <row r="504">
      <c r="A504" s="46"/>
      <c r="B504" s="46"/>
      <c r="C504" s="46"/>
      <c r="D504" s="46"/>
      <c r="E504" s="46"/>
      <c r="F504" s="46"/>
      <c r="G504" s="46"/>
      <c r="H504" s="46"/>
      <c r="I504" s="46"/>
      <c r="J504" s="46"/>
      <c r="K504" s="46"/>
      <c r="L504" s="51"/>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51"/>
      <c r="BB504" s="46"/>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46"/>
      <c r="BZ504" s="46"/>
      <c r="CA504" s="46"/>
      <c r="CB504" s="46"/>
      <c r="CC504" s="46"/>
      <c r="CD504" s="46"/>
      <c r="CE504" s="46"/>
      <c r="CF504" s="46"/>
      <c r="CG504" s="46"/>
      <c r="CH504" s="46"/>
      <c r="CI504" s="46"/>
      <c r="CJ504" s="46"/>
      <c r="CK504" s="46"/>
      <c r="CL504" s="46"/>
      <c r="CM504" s="46"/>
      <c r="CN504" s="46"/>
    </row>
    <row r="505">
      <c r="A505" s="46"/>
      <c r="B505" s="46"/>
      <c r="C505" s="46"/>
      <c r="D505" s="46"/>
      <c r="E505" s="46"/>
      <c r="F505" s="46"/>
      <c r="G505" s="46"/>
      <c r="H505" s="46"/>
      <c r="I505" s="46"/>
      <c r="J505" s="46"/>
      <c r="K505" s="46"/>
      <c r="L505" s="51"/>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51"/>
      <c r="BB505" s="46"/>
      <c r="BC505" s="46"/>
      <c r="BD505" s="46"/>
      <c r="BE505" s="46"/>
      <c r="BF505" s="46"/>
      <c r="BG505" s="46"/>
      <c r="BH505" s="46"/>
      <c r="BI505" s="46"/>
      <c r="BJ505" s="46"/>
      <c r="BK505" s="46"/>
      <c r="BL505" s="46"/>
      <c r="BM505" s="46"/>
      <c r="BN505" s="46"/>
      <c r="BO505" s="46"/>
      <c r="BP505" s="46"/>
      <c r="BQ505" s="46"/>
      <c r="BR505" s="46"/>
      <c r="BS505" s="46"/>
      <c r="BT505" s="46"/>
      <c r="BU505" s="46"/>
      <c r="BV505" s="46"/>
      <c r="BW505" s="46"/>
      <c r="BX505" s="46"/>
      <c r="BY505" s="46"/>
      <c r="BZ505" s="46"/>
      <c r="CA505" s="46"/>
      <c r="CB505" s="46"/>
      <c r="CC505" s="46"/>
      <c r="CD505" s="46"/>
      <c r="CE505" s="46"/>
      <c r="CF505" s="46"/>
      <c r="CG505" s="46"/>
      <c r="CH505" s="46"/>
      <c r="CI505" s="46"/>
      <c r="CJ505" s="46"/>
      <c r="CK505" s="46"/>
      <c r="CL505" s="46"/>
      <c r="CM505" s="46"/>
      <c r="CN505" s="46"/>
    </row>
    <row r="506">
      <c r="A506" s="46"/>
      <c r="B506" s="46"/>
      <c r="C506" s="46"/>
      <c r="D506" s="46"/>
      <c r="E506" s="46"/>
      <c r="F506" s="46"/>
      <c r="G506" s="46"/>
      <c r="H506" s="46"/>
      <c r="I506" s="46"/>
      <c r="J506" s="46"/>
      <c r="K506" s="46"/>
      <c r="L506" s="51"/>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51"/>
      <c r="BB506" s="46"/>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46"/>
      <c r="BZ506" s="46"/>
      <c r="CA506" s="46"/>
      <c r="CB506" s="46"/>
      <c r="CC506" s="46"/>
      <c r="CD506" s="46"/>
      <c r="CE506" s="46"/>
      <c r="CF506" s="46"/>
      <c r="CG506" s="46"/>
      <c r="CH506" s="46"/>
      <c r="CI506" s="46"/>
      <c r="CJ506" s="46"/>
      <c r="CK506" s="46"/>
      <c r="CL506" s="46"/>
      <c r="CM506" s="46"/>
      <c r="CN506" s="46"/>
    </row>
    <row r="507">
      <c r="A507" s="46"/>
      <c r="B507" s="46"/>
      <c r="C507" s="46"/>
      <c r="D507" s="46"/>
      <c r="E507" s="46"/>
      <c r="F507" s="46"/>
      <c r="G507" s="46"/>
      <c r="H507" s="46"/>
      <c r="I507" s="46"/>
      <c r="J507" s="46"/>
      <c r="K507" s="46"/>
      <c r="L507" s="51"/>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51"/>
      <c r="BB507" s="46"/>
      <c r="BC507" s="46"/>
      <c r="BD507" s="46"/>
      <c r="BE507" s="46"/>
      <c r="BF507" s="46"/>
      <c r="BG507" s="46"/>
      <c r="BH507" s="46"/>
      <c r="BI507" s="46"/>
      <c r="BJ507" s="46"/>
      <c r="BK507" s="46"/>
      <c r="BL507" s="46"/>
      <c r="BM507" s="46"/>
      <c r="BN507" s="46"/>
      <c r="BO507" s="46"/>
      <c r="BP507" s="46"/>
      <c r="BQ507" s="46"/>
      <c r="BR507" s="46"/>
      <c r="BS507" s="46"/>
      <c r="BT507" s="46"/>
      <c r="BU507" s="46"/>
      <c r="BV507" s="46"/>
      <c r="BW507" s="46"/>
      <c r="BX507" s="46"/>
      <c r="BY507" s="46"/>
      <c r="BZ507" s="46"/>
      <c r="CA507" s="46"/>
      <c r="CB507" s="46"/>
      <c r="CC507" s="46"/>
      <c r="CD507" s="46"/>
      <c r="CE507" s="46"/>
      <c r="CF507" s="46"/>
      <c r="CG507" s="46"/>
      <c r="CH507" s="46"/>
      <c r="CI507" s="46"/>
      <c r="CJ507" s="46"/>
      <c r="CK507" s="46"/>
      <c r="CL507" s="46"/>
      <c r="CM507" s="46"/>
      <c r="CN507" s="46"/>
    </row>
    <row r="508">
      <c r="A508" s="46"/>
      <c r="B508" s="46"/>
      <c r="C508" s="46"/>
      <c r="D508" s="46"/>
      <c r="E508" s="46"/>
      <c r="F508" s="46"/>
      <c r="G508" s="46"/>
      <c r="H508" s="46"/>
      <c r="I508" s="46"/>
      <c r="J508" s="46"/>
      <c r="K508" s="46"/>
      <c r="L508" s="51"/>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51"/>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46"/>
      <c r="BZ508" s="46"/>
      <c r="CA508" s="46"/>
      <c r="CB508" s="46"/>
      <c r="CC508" s="46"/>
      <c r="CD508" s="46"/>
      <c r="CE508" s="46"/>
      <c r="CF508" s="46"/>
      <c r="CG508" s="46"/>
      <c r="CH508" s="46"/>
      <c r="CI508" s="46"/>
      <c r="CJ508" s="46"/>
      <c r="CK508" s="46"/>
      <c r="CL508" s="46"/>
      <c r="CM508" s="46"/>
      <c r="CN508" s="46"/>
    </row>
    <row r="509">
      <c r="A509" s="46"/>
      <c r="B509" s="46"/>
      <c r="C509" s="46"/>
      <c r="D509" s="46"/>
      <c r="E509" s="46"/>
      <c r="F509" s="46"/>
      <c r="G509" s="46"/>
      <c r="H509" s="46"/>
      <c r="I509" s="46"/>
      <c r="J509" s="46"/>
      <c r="K509" s="46"/>
      <c r="L509" s="51"/>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51"/>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6"/>
      <c r="BY509" s="46"/>
      <c r="BZ509" s="46"/>
      <c r="CA509" s="46"/>
      <c r="CB509" s="46"/>
      <c r="CC509" s="46"/>
      <c r="CD509" s="46"/>
      <c r="CE509" s="46"/>
      <c r="CF509" s="46"/>
      <c r="CG509" s="46"/>
      <c r="CH509" s="46"/>
      <c r="CI509" s="46"/>
      <c r="CJ509" s="46"/>
      <c r="CK509" s="46"/>
      <c r="CL509" s="46"/>
      <c r="CM509" s="46"/>
      <c r="CN509" s="46"/>
    </row>
    <row r="510">
      <c r="A510" s="46"/>
      <c r="B510" s="46"/>
      <c r="C510" s="46"/>
      <c r="D510" s="46"/>
      <c r="E510" s="46"/>
      <c r="F510" s="46"/>
      <c r="G510" s="46"/>
      <c r="H510" s="46"/>
      <c r="I510" s="46"/>
      <c r="J510" s="46"/>
      <c r="K510" s="46"/>
      <c r="L510" s="51"/>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51"/>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46"/>
      <c r="BZ510" s="46"/>
      <c r="CA510" s="46"/>
      <c r="CB510" s="46"/>
      <c r="CC510" s="46"/>
      <c r="CD510" s="46"/>
      <c r="CE510" s="46"/>
      <c r="CF510" s="46"/>
      <c r="CG510" s="46"/>
      <c r="CH510" s="46"/>
      <c r="CI510" s="46"/>
      <c r="CJ510" s="46"/>
      <c r="CK510" s="46"/>
      <c r="CL510" s="46"/>
      <c r="CM510" s="46"/>
      <c r="CN510" s="46"/>
    </row>
    <row r="511">
      <c r="A511" s="46"/>
      <c r="B511" s="46"/>
      <c r="C511" s="46"/>
      <c r="D511" s="46"/>
      <c r="E511" s="46"/>
      <c r="F511" s="46"/>
      <c r="G511" s="46"/>
      <c r="H511" s="46"/>
      <c r="I511" s="46"/>
      <c r="J511" s="46"/>
      <c r="K511" s="46"/>
      <c r="L511" s="51"/>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51"/>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6"/>
      <c r="BY511" s="46"/>
      <c r="BZ511" s="46"/>
      <c r="CA511" s="46"/>
      <c r="CB511" s="46"/>
      <c r="CC511" s="46"/>
      <c r="CD511" s="46"/>
      <c r="CE511" s="46"/>
      <c r="CF511" s="46"/>
      <c r="CG511" s="46"/>
      <c r="CH511" s="46"/>
      <c r="CI511" s="46"/>
      <c r="CJ511" s="46"/>
      <c r="CK511" s="46"/>
      <c r="CL511" s="46"/>
      <c r="CM511" s="46"/>
      <c r="CN511" s="46"/>
    </row>
    <row r="512">
      <c r="A512" s="46"/>
      <c r="B512" s="46"/>
      <c r="C512" s="46"/>
      <c r="D512" s="46"/>
      <c r="E512" s="46"/>
      <c r="F512" s="46"/>
      <c r="G512" s="46"/>
      <c r="H512" s="46"/>
      <c r="I512" s="46"/>
      <c r="J512" s="46"/>
      <c r="K512" s="46"/>
      <c r="L512" s="51"/>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51"/>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46"/>
      <c r="BZ512" s="46"/>
      <c r="CA512" s="46"/>
      <c r="CB512" s="46"/>
      <c r="CC512" s="46"/>
      <c r="CD512" s="46"/>
      <c r="CE512" s="46"/>
      <c r="CF512" s="46"/>
      <c r="CG512" s="46"/>
      <c r="CH512" s="46"/>
      <c r="CI512" s="46"/>
      <c r="CJ512" s="46"/>
      <c r="CK512" s="46"/>
      <c r="CL512" s="46"/>
      <c r="CM512" s="46"/>
      <c r="CN512" s="46"/>
    </row>
    <row r="513">
      <c r="A513" s="46"/>
      <c r="B513" s="46"/>
      <c r="C513" s="46"/>
      <c r="D513" s="46"/>
      <c r="E513" s="46"/>
      <c r="F513" s="46"/>
      <c r="G513" s="46"/>
      <c r="H513" s="46"/>
      <c r="I513" s="46"/>
      <c r="J513" s="46"/>
      <c r="K513" s="46"/>
      <c r="L513" s="51"/>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51"/>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6"/>
      <c r="BY513" s="46"/>
      <c r="BZ513" s="46"/>
      <c r="CA513" s="46"/>
      <c r="CB513" s="46"/>
      <c r="CC513" s="46"/>
      <c r="CD513" s="46"/>
      <c r="CE513" s="46"/>
      <c r="CF513" s="46"/>
      <c r="CG513" s="46"/>
      <c r="CH513" s="46"/>
      <c r="CI513" s="46"/>
      <c r="CJ513" s="46"/>
      <c r="CK513" s="46"/>
      <c r="CL513" s="46"/>
      <c r="CM513" s="46"/>
      <c r="CN513" s="46"/>
    </row>
    <row r="514">
      <c r="A514" s="46"/>
      <c r="B514" s="46"/>
      <c r="C514" s="46"/>
      <c r="D514" s="46"/>
      <c r="E514" s="46"/>
      <c r="F514" s="46"/>
      <c r="G514" s="46"/>
      <c r="H514" s="46"/>
      <c r="I514" s="46"/>
      <c r="J514" s="46"/>
      <c r="K514" s="46"/>
      <c r="L514" s="51"/>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51"/>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46"/>
      <c r="BZ514" s="46"/>
      <c r="CA514" s="46"/>
      <c r="CB514" s="46"/>
      <c r="CC514" s="46"/>
      <c r="CD514" s="46"/>
      <c r="CE514" s="46"/>
      <c r="CF514" s="46"/>
      <c r="CG514" s="46"/>
      <c r="CH514" s="46"/>
      <c r="CI514" s="46"/>
      <c r="CJ514" s="46"/>
      <c r="CK514" s="46"/>
      <c r="CL514" s="46"/>
      <c r="CM514" s="46"/>
      <c r="CN514" s="46"/>
    </row>
    <row r="515">
      <c r="A515" s="46"/>
      <c r="B515" s="46"/>
      <c r="C515" s="46"/>
      <c r="D515" s="46"/>
      <c r="E515" s="46"/>
      <c r="F515" s="46"/>
      <c r="G515" s="46"/>
      <c r="H515" s="46"/>
      <c r="I515" s="46"/>
      <c r="J515" s="46"/>
      <c r="K515" s="46"/>
      <c r="L515" s="51"/>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51"/>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6"/>
      <c r="BY515" s="46"/>
      <c r="BZ515" s="46"/>
      <c r="CA515" s="46"/>
      <c r="CB515" s="46"/>
      <c r="CC515" s="46"/>
      <c r="CD515" s="46"/>
      <c r="CE515" s="46"/>
      <c r="CF515" s="46"/>
      <c r="CG515" s="46"/>
      <c r="CH515" s="46"/>
      <c r="CI515" s="46"/>
      <c r="CJ515" s="46"/>
      <c r="CK515" s="46"/>
      <c r="CL515" s="46"/>
      <c r="CM515" s="46"/>
      <c r="CN515" s="46"/>
    </row>
    <row r="516">
      <c r="A516" s="46"/>
      <c r="B516" s="46"/>
      <c r="C516" s="46"/>
      <c r="D516" s="46"/>
      <c r="E516" s="46"/>
      <c r="F516" s="46"/>
      <c r="G516" s="46"/>
      <c r="H516" s="46"/>
      <c r="I516" s="46"/>
      <c r="J516" s="46"/>
      <c r="K516" s="46"/>
      <c r="L516" s="51"/>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51"/>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46"/>
      <c r="BZ516" s="46"/>
      <c r="CA516" s="46"/>
      <c r="CB516" s="46"/>
      <c r="CC516" s="46"/>
      <c r="CD516" s="46"/>
      <c r="CE516" s="46"/>
      <c r="CF516" s="46"/>
      <c r="CG516" s="46"/>
      <c r="CH516" s="46"/>
      <c r="CI516" s="46"/>
      <c r="CJ516" s="46"/>
      <c r="CK516" s="46"/>
      <c r="CL516" s="46"/>
      <c r="CM516" s="46"/>
      <c r="CN516" s="46"/>
    </row>
    <row r="517">
      <c r="A517" s="46"/>
      <c r="B517" s="46"/>
      <c r="C517" s="46"/>
      <c r="D517" s="46"/>
      <c r="E517" s="46"/>
      <c r="F517" s="46"/>
      <c r="G517" s="46"/>
      <c r="H517" s="46"/>
      <c r="I517" s="46"/>
      <c r="J517" s="46"/>
      <c r="K517" s="46"/>
      <c r="L517" s="51"/>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51"/>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6"/>
      <c r="BY517" s="46"/>
      <c r="BZ517" s="46"/>
      <c r="CA517" s="46"/>
      <c r="CB517" s="46"/>
      <c r="CC517" s="46"/>
      <c r="CD517" s="46"/>
      <c r="CE517" s="46"/>
      <c r="CF517" s="46"/>
      <c r="CG517" s="46"/>
      <c r="CH517" s="46"/>
      <c r="CI517" s="46"/>
      <c r="CJ517" s="46"/>
      <c r="CK517" s="46"/>
      <c r="CL517" s="46"/>
      <c r="CM517" s="46"/>
      <c r="CN517" s="46"/>
    </row>
    <row r="518">
      <c r="A518" s="46"/>
      <c r="B518" s="46"/>
      <c r="C518" s="46"/>
      <c r="D518" s="46"/>
      <c r="E518" s="46"/>
      <c r="F518" s="46"/>
      <c r="G518" s="46"/>
      <c r="H518" s="46"/>
      <c r="I518" s="46"/>
      <c r="J518" s="46"/>
      <c r="K518" s="46"/>
      <c r="L518" s="51"/>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51"/>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46"/>
      <c r="BZ518" s="46"/>
      <c r="CA518" s="46"/>
      <c r="CB518" s="46"/>
      <c r="CC518" s="46"/>
      <c r="CD518" s="46"/>
      <c r="CE518" s="46"/>
      <c r="CF518" s="46"/>
      <c r="CG518" s="46"/>
      <c r="CH518" s="46"/>
      <c r="CI518" s="46"/>
      <c r="CJ518" s="46"/>
      <c r="CK518" s="46"/>
      <c r="CL518" s="46"/>
      <c r="CM518" s="46"/>
      <c r="CN518" s="46"/>
    </row>
    <row r="519">
      <c r="A519" s="46"/>
      <c r="B519" s="46"/>
      <c r="C519" s="46"/>
      <c r="D519" s="46"/>
      <c r="E519" s="46"/>
      <c r="F519" s="46"/>
      <c r="G519" s="46"/>
      <c r="H519" s="46"/>
      <c r="I519" s="46"/>
      <c r="J519" s="46"/>
      <c r="K519" s="46"/>
      <c r="L519" s="51"/>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51"/>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6"/>
      <c r="BY519" s="46"/>
      <c r="BZ519" s="46"/>
      <c r="CA519" s="46"/>
      <c r="CB519" s="46"/>
      <c r="CC519" s="46"/>
      <c r="CD519" s="46"/>
      <c r="CE519" s="46"/>
      <c r="CF519" s="46"/>
      <c r="CG519" s="46"/>
      <c r="CH519" s="46"/>
      <c r="CI519" s="46"/>
      <c r="CJ519" s="46"/>
      <c r="CK519" s="46"/>
      <c r="CL519" s="46"/>
      <c r="CM519" s="46"/>
      <c r="CN519" s="46"/>
    </row>
    <row r="520">
      <c r="A520" s="46"/>
      <c r="B520" s="46"/>
      <c r="C520" s="46"/>
      <c r="D520" s="46"/>
      <c r="E520" s="46"/>
      <c r="F520" s="46"/>
      <c r="G520" s="46"/>
      <c r="H520" s="46"/>
      <c r="I520" s="46"/>
      <c r="J520" s="46"/>
      <c r="K520" s="46"/>
      <c r="L520" s="51"/>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51"/>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c r="CD520" s="46"/>
      <c r="CE520" s="46"/>
      <c r="CF520" s="46"/>
      <c r="CG520" s="46"/>
      <c r="CH520" s="46"/>
      <c r="CI520" s="46"/>
      <c r="CJ520" s="46"/>
      <c r="CK520" s="46"/>
      <c r="CL520" s="46"/>
      <c r="CM520" s="46"/>
      <c r="CN520" s="46"/>
    </row>
    <row r="521">
      <c r="A521" s="46"/>
      <c r="B521" s="46"/>
      <c r="C521" s="46"/>
      <c r="D521" s="46"/>
      <c r="E521" s="46"/>
      <c r="F521" s="46"/>
      <c r="G521" s="46"/>
      <c r="H521" s="46"/>
      <c r="I521" s="46"/>
      <c r="J521" s="46"/>
      <c r="K521" s="46"/>
      <c r="L521" s="51"/>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51"/>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46"/>
      <c r="BZ521" s="46"/>
      <c r="CA521" s="46"/>
      <c r="CB521" s="46"/>
      <c r="CC521" s="46"/>
      <c r="CD521" s="46"/>
      <c r="CE521" s="46"/>
      <c r="CF521" s="46"/>
      <c r="CG521" s="46"/>
      <c r="CH521" s="46"/>
      <c r="CI521" s="46"/>
      <c r="CJ521" s="46"/>
      <c r="CK521" s="46"/>
      <c r="CL521" s="46"/>
      <c r="CM521" s="46"/>
      <c r="CN521" s="46"/>
    </row>
    <row r="522">
      <c r="A522" s="46"/>
      <c r="B522" s="46"/>
      <c r="C522" s="46"/>
      <c r="D522" s="46"/>
      <c r="E522" s="46"/>
      <c r="F522" s="46"/>
      <c r="G522" s="46"/>
      <c r="H522" s="46"/>
      <c r="I522" s="46"/>
      <c r="J522" s="46"/>
      <c r="K522" s="46"/>
      <c r="L522" s="51"/>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51"/>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c r="CD522" s="46"/>
      <c r="CE522" s="46"/>
      <c r="CF522" s="46"/>
      <c r="CG522" s="46"/>
      <c r="CH522" s="46"/>
      <c r="CI522" s="46"/>
      <c r="CJ522" s="46"/>
      <c r="CK522" s="46"/>
      <c r="CL522" s="46"/>
      <c r="CM522" s="46"/>
      <c r="CN522" s="46"/>
    </row>
    <row r="523">
      <c r="A523" s="46"/>
      <c r="B523" s="46"/>
      <c r="C523" s="46"/>
      <c r="D523" s="46"/>
      <c r="E523" s="46"/>
      <c r="F523" s="46"/>
      <c r="G523" s="46"/>
      <c r="H523" s="46"/>
      <c r="I523" s="46"/>
      <c r="J523" s="46"/>
      <c r="K523" s="46"/>
      <c r="L523" s="51"/>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51"/>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6"/>
      <c r="BY523" s="46"/>
      <c r="BZ523" s="46"/>
      <c r="CA523" s="46"/>
      <c r="CB523" s="46"/>
      <c r="CC523" s="46"/>
      <c r="CD523" s="46"/>
      <c r="CE523" s="46"/>
      <c r="CF523" s="46"/>
      <c r="CG523" s="46"/>
      <c r="CH523" s="46"/>
      <c r="CI523" s="46"/>
      <c r="CJ523" s="46"/>
      <c r="CK523" s="46"/>
      <c r="CL523" s="46"/>
      <c r="CM523" s="46"/>
      <c r="CN523" s="46"/>
    </row>
    <row r="524">
      <c r="A524" s="46"/>
      <c r="B524" s="46"/>
      <c r="C524" s="46"/>
      <c r="D524" s="46"/>
      <c r="E524" s="46"/>
      <c r="F524" s="46"/>
      <c r="G524" s="46"/>
      <c r="H524" s="46"/>
      <c r="I524" s="46"/>
      <c r="J524" s="46"/>
      <c r="K524" s="46"/>
      <c r="L524" s="51"/>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51"/>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46"/>
      <c r="BZ524" s="46"/>
      <c r="CA524" s="46"/>
      <c r="CB524" s="46"/>
      <c r="CC524" s="46"/>
      <c r="CD524" s="46"/>
      <c r="CE524" s="46"/>
      <c r="CF524" s="46"/>
      <c r="CG524" s="46"/>
      <c r="CH524" s="46"/>
      <c r="CI524" s="46"/>
      <c r="CJ524" s="46"/>
      <c r="CK524" s="46"/>
      <c r="CL524" s="46"/>
      <c r="CM524" s="46"/>
      <c r="CN524" s="46"/>
    </row>
    <row r="525">
      <c r="A525" s="46"/>
      <c r="B525" s="46"/>
      <c r="C525" s="46"/>
      <c r="D525" s="46"/>
      <c r="E525" s="46"/>
      <c r="F525" s="46"/>
      <c r="G525" s="46"/>
      <c r="H525" s="46"/>
      <c r="I525" s="46"/>
      <c r="J525" s="46"/>
      <c r="K525" s="46"/>
      <c r="L525" s="51"/>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51"/>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6"/>
      <c r="BY525" s="46"/>
      <c r="BZ525" s="46"/>
      <c r="CA525" s="46"/>
      <c r="CB525" s="46"/>
      <c r="CC525" s="46"/>
      <c r="CD525" s="46"/>
      <c r="CE525" s="46"/>
      <c r="CF525" s="46"/>
      <c r="CG525" s="46"/>
      <c r="CH525" s="46"/>
      <c r="CI525" s="46"/>
      <c r="CJ525" s="46"/>
      <c r="CK525" s="46"/>
      <c r="CL525" s="46"/>
      <c r="CM525" s="46"/>
      <c r="CN525" s="46"/>
    </row>
    <row r="526">
      <c r="A526" s="46"/>
      <c r="B526" s="46"/>
      <c r="C526" s="46"/>
      <c r="D526" s="46"/>
      <c r="E526" s="46"/>
      <c r="F526" s="46"/>
      <c r="G526" s="46"/>
      <c r="H526" s="46"/>
      <c r="I526" s="46"/>
      <c r="J526" s="46"/>
      <c r="K526" s="46"/>
      <c r="L526" s="51"/>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51"/>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46"/>
      <c r="BZ526" s="46"/>
      <c r="CA526" s="46"/>
      <c r="CB526" s="46"/>
      <c r="CC526" s="46"/>
      <c r="CD526" s="46"/>
      <c r="CE526" s="46"/>
      <c r="CF526" s="46"/>
      <c r="CG526" s="46"/>
      <c r="CH526" s="46"/>
      <c r="CI526" s="46"/>
      <c r="CJ526" s="46"/>
      <c r="CK526" s="46"/>
      <c r="CL526" s="46"/>
      <c r="CM526" s="46"/>
      <c r="CN526" s="46"/>
    </row>
    <row r="527">
      <c r="A527" s="46"/>
      <c r="B527" s="46"/>
      <c r="C527" s="46"/>
      <c r="D527" s="46"/>
      <c r="E527" s="46"/>
      <c r="F527" s="46"/>
      <c r="G527" s="46"/>
      <c r="H527" s="46"/>
      <c r="I527" s="46"/>
      <c r="J527" s="46"/>
      <c r="K527" s="46"/>
      <c r="L527" s="51"/>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51"/>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6"/>
      <c r="BY527" s="46"/>
      <c r="BZ527" s="46"/>
      <c r="CA527" s="46"/>
      <c r="CB527" s="46"/>
      <c r="CC527" s="46"/>
      <c r="CD527" s="46"/>
      <c r="CE527" s="46"/>
      <c r="CF527" s="46"/>
      <c r="CG527" s="46"/>
      <c r="CH527" s="46"/>
      <c r="CI527" s="46"/>
      <c r="CJ527" s="46"/>
      <c r="CK527" s="46"/>
      <c r="CL527" s="46"/>
      <c r="CM527" s="46"/>
      <c r="CN527" s="46"/>
    </row>
    <row r="528">
      <c r="A528" s="46"/>
      <c r="B528" s="46"/>
      <c r="C528" s="46"/>
      <c r="D528" s="46"/>
      <c r="E528" s="46"/>
      <c r="F528" s="46"/>
      <c r="G528" s="46"/>
      <c r="H528" s="46"/>
      <c r="I528" s="46"/>
      <c r="J528" s="46"/>
      <c r="K528" s="46"/>
      <c r="L528" s="51"/>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51"/>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46"/>
      <c r="BZ528" s="46"/>
      <c r="CA528" s="46"/>
      <c r="CB528" s="46"/>
      <c r="CC528" s="46"/>
      <c r="CD528" s="46"/>
      <c r="CE528" s="46"/>
      <c r="CF528" s="46"/>
      <c r="CG528" s="46"/>
      <c r="CH528" s="46"/>
      <c r="CI528" s="46"/>
      <c r="CJ528" s="46"/>
      <c r="CK528" s="46"/>
      <c r="CL528" s="46"/>
      <c r="CM528" s="46"/>
      <c r="CN528" s="46"/>
    </row>
    <row r="529">
      <c r="A529" s="46"/>
      <c r="B529" s="46"/>
      <c r="C529" s="46"/>
      <c r="D529" s="46"/>
      <c r="E529" s="46"/>
      <c r="F529" s="46"/>
      <c r="G529" s="46"/>
      <c r="H529" s="46"/>
      <c r="I529" s="46"/>
      <c r="J529" s="46"/>
      <c r="K529" s="46"/>
      <c r="L529" s="51"/>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51"/>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6"/>
      <c r="BY529" s="46"/>
      <c r="BZ529" s="46"/>
      <c r="CA529" s="46"/>
      <c r="CB529" s="46"/>
      <c r="CC529" s="46"/>
      <c r="CD529" s="46"/>
      <c r="CE529" s="46"/>
      <c r="CF529" s="46"/>
      <c r="CG529" s="46"/>
      <c r="CH529" s="46"/>
      <c r="CI529" s="46"/>
      <c r="CJ529" s="46"/>
      <c r="CK529" s="46"/>
      <c r="CL529" s="46"/>
      <c r="CM529" s="46"/>
      <c r="CN529" s="46"/>
    </row>
    <row r="530">
      <c r="A530" s="46"/>
      <c r="B530" s="46"/>
      <c r="C530" s="46"/>
      <c r="D530" s="46"/>
      <c r="E530" s="46"/>
      <c r="F530" s="46"/>
      <c r="G530" s="46"/>
      <c r="H530" s="46"/>
      <c r="I530" s="46"/>
      <c r="J530" s="46"/>
      <c r="K530" s="46"/>
      <c r="L530" s="51"/>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51"/>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46"/>
      <c r="BZ530" s="46"/>
      <c r="CA530" s="46"/>
      <c r="CB530" s="46"/>
      <c r="CC530" s="46"/>
      <c r="CD530" s="46"/>
      <c r="CE530" s="46"/>
      <c r="CF530" s="46"/>
      <c r="CG530" s="46"/>
      <c r="CH530" s="46"/>
      <c r="CI530" s="46"/>
      <c r="CJ530" s="46"/>
      <c r="CK530" s="46"/>
      <c r="CL530" s="46"/>
      <c r="CM530" s="46"/>
      <c r="CN530" s="46"/>
    </row>
    <row r="531">
      <c r="A531" s="46"/>
      <c r="B531" s="46"/>
      <c r="C531" s="46"/>
      <c r="D531" s="46"/>
      <c r="E531" s="46"/>
      <c r="F531" s="46"/>
      <c r="G531" s="46"/>
      <c r="H531" s="46"/>
      <c r="I531" s="46"/>
      <c r="J531" s="46"/>
      <c r="K531" s="46"/>
      <c r="L531" s="51"/>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51"/>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6"/>
      <c r="BY531" s="46"/>
      <c r="BZ531" s="46"/>
      <c r="CA531" s="46"/>
      <c r="CB531" s="46"/>
      <c r="CC531" s="46"/>
      <c r="CD531" s="46"/>
      <c r="CE531" s="46"/>
      <c r="CF531" s="46"/>
      <c r="CG531" s="46"/>
      <c r="CH531" s="46"/>
      <c r="CI531" s="46"/>
      <c r="CJ531" s="46"/>
      <c r="CK531" s="46"/>
      <c r="CL531" s="46"/>
      <c r="CM531" s="46"/>
      <c r="CN531" s="46"/>
    </row>
    <row r="532">
      <c r="A532" s="46"/>
      <c r="B532" s="46"/>
      <c r="C532" s="46"/>
      <c r="D532" s="46"/>
      <c r="E532" s="46"/>
      <c r="F532" s="46"/>
      <c r="G532" s="46"/>
      <c r="H532" s="46"/>
      <c r="I532" s="46"/>
      <c r="J532" s="46"/>
      <c r="K532" s="46"/>
      <c r="L532" s="51"/>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51"/>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46"/>
      <c r="BZ532" s="46"/>
      <c r="CA532" s="46"/>
      <c r="CB532" s="46"/>
      <c r="CC532" s="46"/>
      <c r="CD532" s="46"/>
      <c r="CE532" s="46"/>
      <c r="CF532" s="46"/>
      <c r="CG532" s="46"/>
      <c r="CH532" s="46"/>
      <c r="CI532" s="46"/>
      <c r="CJ532" s="46"/>
      <c r="CK532" s="46"/>
      <c r="CL532" s="46"/>
      <c r="CM532" s="46"/>
      <c r="CN532" s="46"/>
    </row>
    <row r="533">
      <c r="A533" s="46"/>
      <c r="B533" s="46"/>
      <c r="C533" s="46"/>
      <c r="D533" s="46"/>
      <c r="E533" s="46"/>
      <c r="F533" s="46"/>
      <c r="G533" s="46"/>
      <c r="H533" s="46"/>
      <c r="I533" s="46"/>
      <c r="J533" s="46"/>
      <c r="K533" s="46"/>
      <c r="L533" s="51"/>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51"/>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6"/>
      <c r="BY533" s="46"/>
      <c r="BZ533" s="46"/>
      <c r="CA533" s="46"/>
      <c r="CB533" s="46"/>
      <c r="CC533" s="46"/>
      <c r="CD533" s="46"/>
      <c r="CE533" s="46"/>
      <c r="CF533" s="46"/>
      <c r="CG533" s="46"/>
      <c r="CH533" s="46"/>
      <c r="CI533" s="46"/>
      <c r="CJ533" s="46"/>
      <c r="CK533" s="46"/>
      <c r="CL533" s="46"/>
      <c r="CM533" s="46"/>
      <c r="CN533" s="46"/>
    </row>
    <row r="534">
      <c r="A534" s="46"/>
      <c r="B534" s="46"/>
      <c r="C534" s="46"/>
      <c r="D534" s="46"/>
      <c r="E534" s="46"/>
      <c r="F534" s="46"/>
      <c r="G534" s="46"/>
      <c r="H534" s="46"/>
      <c r="I534" s="46"/>
      <c r="J534" s="46"/>
      <c r="K534" s="46"/>
      <c r="L534" s="51"/>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51"/>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46"/>
      <c r="BZ534" s="46"/>
      <c r="CA534" s="46"/>
      <c r="CB534" s="46"/>
      <c r="CC534" s="46"/>
      <c r="CD534" s="46"/>
      <c r="CE534" s="46"/>
      <c r="CF534" s="46"/>
      <c r="CG534" s="46"/>
      <c r="CH534" s="46"/>
      <c r="CI534" s="46"/>
      <c r="CJ534" s="46"/>
      <c r="CK534" s="46"/>
      <c r="CL534" s="46"/>
      <c r="CM534" s="46"/>
      <c r="CN534" s="46"/>
    </row>
    <row r="535">
      <c r="A535" s="46"/>
      <c r="B535" s="46"/>
      <c r="C535" s="46"/>
      <c r="D535" s="46"/>
      <c r="E535" s="46"/>
      <c r="F535" s="46"/>
      <c r="G535" s="46"/>
      <c r="H535" s="46"/>
      <c r="I535" s="46"/>
      <c r="J535" s="46"/>
      <c r="K535" s="46"/>
      <c r="L535" s="51"/>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51"/>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6"/>
      <c r="BY535" s="46"/>
      <c r="BZ535" s="46"/>
      <c r="CA535" s="46"/>
      <c r="CB535" s="46"/>
      <c r="CC535" s="46"/>
      <c r="CD535" s="46"/>
      <c r="CE535" s="46"/>
      <c r="CF535" s="46"/>
      <c r="CG535" s="46"/>
      <c r="CH535" s="46"/>
      <c r="CI535" s="46"/>
      <c r="CJ535" s="46"/>
      <c r="CK535" s="46"/>
      <c r="CL535" s="46"/>
      <c r="CM535" s="46"/>
      <c r="CN535" s="46"/>
    </row>
    <row r="536">
      <c r="A536" s="46"/>
      <c r="B536" s="46"/>
      <c r="C536" s="46"/>
      <c r="D536" s="46"/>
      <c r="E536" s="46"/>
      <c r="F536" s="46"/>
      <c r="G536" s="46"/>
      <c r="H536" s="46"/>
      <c r="I536" s="46"/>
      <c r="J536" s="46"/>
      <c r="K536" s="46"/>
      <c r="L536" s="51"/>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51"/>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46"/>
      <c r="BZ536" s="46"/>
      <c r="CA536" s="46"/>
      <c r="CB536" s="46"/>
      <c r="CC536" s="46"/>
      <c r="CD536" s="46"/>
      <c r="CE536" s="46"/>
      <c r="CF536" s="46"/>
      <c r="CG536" s="46"/>
      <c r="CH536" s="46"/>
      <c r="CI536" s="46"/>
      <c r="CJ536" s="46"/>
      <c r="CK536" s="46"/>
      <c r="CL536" s="46"/>
      <c r="CM536" s="46"/>
      <c r="CN536" s="46"/>
    </row>
    <row r="537">
      <c r="A537" s="46"/>
      <c r="B537" s="46"/>
      <c r="C537" s="46"/>
      <c r="D537" s="46"/>
      <c r="E537" s="46"/>
      <c r="F537" s="46"/>
      <c r="G537" s="46"/>
      <c r="H537" s="46"/>
      <c r="I537" s="46"/>
      <c r="J537" s="46"/>
      <c r="K537" s="46"/>
      <c r="L537" s="51"/>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51"/>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46"/>
      <c r="BZ537" s="46"/>
      <c r="CA537" s="46"/>
      <c r="CB537" s="46"/>
      <c r="CC537" s="46"/>
      <c r="CD537" s="46"/>
      <c r="CE537" s="46"/>
      <c r="CF537" s="46"/>
      <c r="CG537" s="46"/>
      <c r="CH537" s="46"/>
      <c r="CI537" s="46"/>
      <c r="CJ537" s="46"/>
      <c r="CK537" s="46"/>
      <c r="CL537" s="46"/>
      <c r="CM537" s="46"/>
      <c r="CN537" s="46"/>
    </row>
    <row r="538">
      <c r="A538" s="46"/>
      <c r="B538" s="46"/>
      <c r="C538" s="46"/>
      <c r="D538" s="46"/>
      <c r="E538" s="46"/>
      <c r="F538" s="46"/>
      <c r="G538" s="46"/>
      <c r="H538" s="46"/>
      <c r="I538" s="46"/>
      <c r="J538" s="46"/>
      <c r="K538" s="46"/>
      <c r="L538" s="51"/>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51"/>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c r="CD538" s="46"/>
      <c r="CE538" s="46"/>
      <c r="CF538" s="46"/>
      <c r="CG538" s="46"/>
      <c r="CH538" s="46"/>
      <c r="CI538" s="46"/>
      <c r="CJ538" s="46"/>
      <c r="CK538" s="46"/>
      <c r="CL538" s="46"/>
      <c r="CM538" s="46"/>
      <c r="CN538" s="46"/>
    </row>
    <row r="539">
      <c r="A539" s="46"/>
      <c r="B539" s="46"/>
      <c r="C539" s="46"/>
      <c r="D539" s="46"/>
      <c r="E539" s="46"/>
      <c r="F539" s="46"/>
      <c r="G539" s="46"/>
      <c r="H539" s="46"/>
      <c r="I539" s="46"/>
      <c r="J539" s="46"/>
      <c r="K539" s="46"/>
      <c r="L539" s="51"/>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51"/>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6"/>
      <c r="BY539" s="46"/>
      <c r="BZ539" s="46"/>
      <c r="CA539" s="46"/>
      <c r="CB539" s="46"/>
      <c r="CC539" s="46"/>
      <c r="CD539" s="46"/>
      <c r="CE539" s="46"/>
      <c r="CF539" s="46"/>
      <c r="CG539" s="46"/>
      <c r="CH539" s="46"/>
      <c r="CI539" s="46"/>
      <c r="CJ539" s="46"/>
      <c r="CK539" s="46"/>
      <c r="CL539" s="46"/>
      <c r="CM539" s="46"/>
      <c r="CN539" s="46"/>
    </row>
    <row r="540">
      <c r="A540" s="46"/>
      <c r="B540" s="46"/>
      <c r="C540" s="46"/>
      <c r="D540" s="46"/>
      <c r="E540" s="46"/>
      <c r="F540" s="46"/>
      <c r="G540" s="46"/>
      <c r="H540" s="46"/>
      <c r="I540" s="46"/>
      <c r="J540" s="46"/>
      <c r="K540" s="46"/>
      <c r="L540" s="51"/>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51"/>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46"/>
      <c r="BZ540" s="46"/>
      <c r="CA540" s="46"/>
      <c r="CB540" s="46"/>
      <c r="CC540" s="46"/>
      <c r="CD540" s="46"/>
      <c r="CE540" s="46"/>
      <c r="CF540" s="46"/>
      <c r="CG540" s="46"/>
      <c r="CH540" s="46"/>
      <c r="CI540" s="46"/>
      <c r="CJ540" s="46"/>
      <c r="CK540" s="46"/>
      <c r="CL540" s="46"/>
      <c r="CM540" s="46"/>
      <c r="CN540" s="46"/>
    </row>
    <row r="541">
      <c r="A541" s="46"/>
      <c r="B541" s="46"/>
      <c r="C541" s="46"/>
      <c r="D541" s="46"/>
      <c r="E541" s="46"/>
      <c r="F541" s="46"/>
      <c r="G541" s="46"/>
      <c r="H541" s="46"/>
      <c r="I541" s="46"/>
      <c r="J541" s="46"/>
      <c r="K541" s="46"/>
      <c r="L541" s="51"/>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51"/>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6"/>
      <c r="BY541" s="46"/>
      <c r="BZ541" s="46"/>
      <c r="CA541" s="46"/>
      <c r="CB541" s="46"/>
      <c r="CC541" s="46"/>
      <c r="CD541" s="46"/>
      <c r="CE541" s="46"/>
      <c r="CF541" s="46"/>
      <c r="CG541" s="46"/>
      <c r="CH541" s="46"/>
      <c r="CI541" s="46"/>
      <c r="CJ541" s="46"/>
      <c r="CK541" s="46"/>
      <c r="CL541" s="46"/>
      <c r="CM541" s="46"/>
      <c r="CN541" s="46"/>
    </row>
    <row r="542">
      <c r="A542" s="46"/>
      <c r="B542" s="46"/>
      <c r="C542" s="46"/>
      <c r="D542" s="46"/>
      <c r="E542" s="46"/>
      <c r="F542" s="46"/>
      <c r="G542" s="46"/>
      <c r="H542" s="46"/>
      <c r="I542" s="46"/>
      <c r="J542" s="46"/>
      <c r="K542" s="46"/>
      <c r="L542" s="51"/>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51"/>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46"/>
      <c r="BZ542" s="46"/>
      <c r="CA542" s="46"/>
      <c r="CB542" s="46"/>
      <c r="CC542" s="46"/>
      <c r="CD542" s="46"/>
      <c r="CE542" s="46"/>
      <c r="CF542" s="46"/>
      <c r="CG542" s="46"/>
      <c r="CH542" s="46"/>
      <c r="CI542" s="46"/>
      <c r="CJ542" s="46"/>
      <c r="CK542" s="46"/>
      <c r="CL542" s="46"/>
      <c r="CM542" s="46"/>
      <c r="CN542" s="46"/>
    </row>
    <row r="543">
      <c r="A543" s="46"/>
      <c r="B543" s="46"/>
      <c r="C543" s="46"/>
      <c r="D543" s="46"/>
      <c r="E543" s="46"/>
      <c r="F543" s="46"/>
      <c r="G543" s="46"/>
      <c r="H543" s="46"/>
      <c r="I543" s="46"/>
      <c r="J543" s="46"/>
      <c r="K543" s="46"/>
      <c r="L543" s="51"/>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51"/>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6"/>
      <c r="BY543" s="46"/>
      <c r="BZ543" s="46"/>
      <c r="CA543" s="46"/>
      <c r="CB543" s="46"/>
      <c r="CC543" s="46"/>
      <c r="CD543" s="46"/>
      <c r="CE543" s="46"/>
      <c r="CF543" s="46"/>
      <c r="CG543" s="46"/>
      <c r="CH543" s="46"/>
      <c r="CI543" s="46"/>
      <c r="CJ543" s="46"/>
      <c r="CK543" s="46"/>
      <c r="CL543" s="46"/>
      <c r="CM543" s="46"/>
      <c r="CN543" s="46"/>
    </row>
    <row r="544">
      <c r="A544" s="46"/>
      <c r="B544" s="46"/>
      <c r="C544" s="46"/>
      <c r="D544" s="46"/>
      <c r="E544" s="46"/>
      <c r="F544" s="46"/>
      <c r="G544" s="46"/>
      <c r="H544" s="46"/>
      <c r="I544" s="46"/>
      <c r="J544" s="46"/>
      <c r="K544" s="46"/>
      <c r="L544" s="51"/>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51"/>
      <c r="BB544" s="46"/>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46"/>
      <c r="BZ544" s="46"/>
      <c r="CA544" s="46"/>
      <c r="CB544" s="46"/>
      <c r="CC544" s="46"/>
      <c r="CD544" s="46"/>
      <c r="CE544" s="46"/>
      <c r="CF544" s="46"/>
      <c r="CG544" s="46"/>
      <c r="CH544" s="46"/>
      <c r="CI544" s="46"/>
      <c r="CJ544" s="46"/>
      <c r="CK544" s="46"/>
      <c r="CL544" s="46"/>
      <c r="CM544" s="46"/>
      <c r="CN544" s="46"/>
    </row>
    <row r="545">
      <c r="A545" s="46"/>
      <c r="B545" s="46"/>
      <c r="C545" s="46"/>
      <c r="D545" s="46"/>
      <c r="E545" s="46"/>
      <c r="F545" s="46"/>
      <c r="G545" s="46"/>
      <c r="H545" s="46"/>
      <c r="I545" s="46"/>
      <c r="J545" s="46"/>
      <c r="K545" s="46"/>
      <c r="L545" s="51"/>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51"/>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6"/>
      <c r="BY545" s="46"/>
      <c r="BZ545" s="46"/>
      <c r="CA545" s="46"/>
      <c r="CB545" s="46"/>
      <c r="CC545" s="46"/>
      <c r="CD545" s="46"/>
      <c r="CE545" s="46"/>
      <c r="CF545" s="46"/>
      <c r="CG545" s="46"/>
      <c r="CH545" s="46"/>
      <c r="CI545" s="46"/>
      <c r="CJ545" s="46"/>
      <c r="CK545" s="46"/>
      <c r="CL545" s="46"/>
      <c r="CM545" s="46"/>
      <c r="CN545" s="46"/>
    </row>
    <row r="546">
      <c r="A546" s="46"/>
      <c r="B546" s="46"/>
      <c r="C546" s="46"/>
      <c r="D546" s="46"/>
      <c r="E546" s="46"/>
      <c r="F546" s="46"/>
      <c r="G546" s="46"/>
      <c r="H546" s="46"/>
      <c r="I546" s="46"/>
      <c r="J546" s="46"/>
      <c r="K546" s="46"/>
      <c r="L546" s="51"/>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51"/>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46"/>
      <c r="BZ546" s="46"/>
      <c r="CA546" s="46"/>
      <c r="CB546" s="46"/>
      <c r="CC546" s="46"/>
      <c r="CD546" s="46"/>
      <c r="CE546" s="46"/>
      <c r="CF546" s="46"/>
      <c r="CG546" s="46"/>
      <c r="CH546" s="46"/>
      <c r="CI546" s="46"/>
      <c r="CJ546" s="46"/>
      <c r="CK546" s="46"/>
      <c r="CL546" s="46"/>
      <c r="CM546" s="46"/>
      <c r="CN546" s="46"/>
    </row>
    <row r="547">
      <c r="A547" s="46"/>
      <c r="B547" s="46"/>
      <c r="C547" s="46"/>
      <c r="D547" s="46"/>
      <c r="E547" s="46"/>
      <c r="F547" s="46"/>
      <c r="G547" s="46"/>
      <c r="H547" s="46"/>
      <c r="I547" s="46"/>
      <c r="J547" s="46"/>
      <c r="K547" s="46"/>
      <c r="L547" s="51"/>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51"/>
      <c r="BB547" s="46"/>
      <c r="BC547" s="46"/>
      <c r="BD547" s="46"/>
      <c r="BE547" s="46"/>
      <c r="BF547" s="46"/>
      <c r="BG547" s="46"/>
      <c r="BH547" s="46"/>
      <c r="BI547" s="46"/>
      <c r="BJ547" s="46"/>
      <c r="BK547" s="46"/>
      <c r="BL547" s="46"/>
      <c r="BM547" s="46"/>
      <c r="BN547" s="46"/>
      <c r="BO547" s="46"/>
      <c r="BP547" s="46"/>
      <c r="BQ547" s="46"/>
      <c r="BR547" s="46"/>
      <c r="BS547" s="46"/>
      <c r="BT547" s="46"/>
      <c r="BU547" s="46"/>
      <c r="BV547" s="46"/>
      <c r="BW547" s="46"/>
      <c r="BX547" s="46"/>
      <c r="BY547" s="46"/>
      <c r="BZ547" s="46"/>
      <c r="CA547" s="46"/>
      <c r="CB547" s="46"/>
      <c r="CC547" s="46"/>
      <c r="CD547" s="46"/>
      <c r="CE547" s="46"/>
      <c r="CF547" s="46"/>
      <c r="CG547" s="46"/>
      <c r="CH547" s="46"/>
      <c r="CI547" s="46"/>
      <c r="CJ547" s="46"/>
      <c r="CK547" s="46"/>
      <c r="CL547" s="46"/>
      <c r="CM547" s="46"/>
      <c r="CN547" s="46"/>
    </row>
    <row r="548">
      <c r="A548" s="46"/>
      <c r="B548" s="46"/>
      <c r="C548" s="46"/>
      <c r="D548" s="46"/>
      <c r="E548" s="46"/>
      <c r="F548" s="46"/>
      <c r="G548" s="46"/>
      <c r="H548" s="46"/>
      <c r="I548" s="46"/>
      <c r="J548" s="46"/>
      <c r="K548" s="46"/>
      <c r="L548" s="51"/>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51"/>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46"/>
      <c r="BZ548" s="46"/>
      <c r="CA548" s="46"/>
      <c r="CB548" s="46"/>
      <c r="CC548" s="46"/>
      <c r="CD548" s="46"/>
      <c r="CE548" s="46"/>
      <c r="CF548" s="46"/>
      <c r="CG548" s="46"/>
      <c r="CH548" s="46"/>
      <c r="CI548" s="46"/>
      <c r="CJ548" s="46"/>
      <c r="CK548" s="46"/>
      <c r="CL548" s="46"/>
      <c r="CM548" s="46"/>
      <c r="CN548" s="46"/>
    </row>
    <row r="549">
      <c r="A549" s="46"/>
      <c r="B549" s="46"/>
      <c r="C549" s="46"/>
      <c r="D549" s="46"/>
      <c r="E549" s="46"/>
      <c r="F549" s="46"/>
      <c r="G549" s="46"/>
      <c r="H549" s="46"/>
      <c r="I549" s="46"/>
      <c r="J549" s="46"/>
      <c r="K549" s="46"/>
      <c r="L549" s="51"/>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51"/>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6"/>
      <c r="BY549" s="46"/>
      <c r="BZ549" s="46"/>
      <c r="CA549" s="46"/>
      <c r="CB549" s="46"/>
      <c r="CC549" s="46"/>
      <c r="CD549" s="46"/>
      <c r="CE549" s="46"/>
      <c r="CF549" s="46"/>
      <c r="CG549" s="46"/>
      <c r="CH549" s="46"/>
      <c r="CI549" s="46"/>
      <c r="CJ549" s="46"/>
      <c r="CK549" s="46"/>
      <c r="CL549" s="46"/>
      <c r="CM549" s="46"/>
      <c r="CN549" s="46"/>
    </row>
    <row r="550">
      <c r="A550" s="46"/>
      <c r="B550" s="46"/>
      <c r="C550" s="46"/>
      <c r="D550" s="46"/>
      <c r="E550" s="46"/>
      <c r="F550" s="46"/>
      <c r="G550" s="46"/>
      <c r="H550" s="46"/>
      <c r="I550" s="46"/>
      <c r="J550" s="46"/>
      <c r="K550" s="46"/>
      <c r="L550" s="51"/>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51"/>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46"/>
      <c r="BZ550" s="46"/>
      <c r="CA550" s="46"/>
      <c r="CB550" s="46"/>
      <c r="CC550" s="46"/>
      <c r="CD550" s="46"/>
      <c r="CE550" s="46"/>
      <c r="CF550" s="46"/>
      <c r="CG550" s="46"/>
      <c r="CH550" s="46"/>
      <c r="CI550" s="46"/>
      <c r="CJ550" s="46"/>
      <c r="CK550" s="46"/>
      <c r="CL550" s="46"/>
      <c r="CM550" s="46"/>
      <c r="CN550" s="46"/>
    </row>
    <row r="551">
      <c r="A551" s="46"/>
      <c r="B551" s="46"/>
      <c r="C551" s="46"/>
      <c r="D551" s="46"/>
      <c r="E551" s="46"/>
      <c r="F551" s="46"/>
      <c r="G551" s="46"/>
      <c r="H551" s="46"/>
      <c r="I551" s="46"/>
      <c r="J551" s="46"/>
      <c r="K551" s="46"/>
      <c r="L551" s="51"/>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51"/>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46"/>
      <c r="BZ551" s="46"/>
      <c r="CA551" s="46"/>
      <c r="CB551" s="46"/>
      <c r="CC551" s="46"/>
      <c r="CD551" s="46"/>
      <c r="CE551" s="46"/>
      <c r="CF551" s="46"/>
      <c r="CG551" s="46"/>
      <c r="CH551" s="46"/>
      <c r="CI551" s="46"/>
      <c r="CJ551" s="46"/>
      <c r="CK551" s="46"/>
      <c r="CL551" s="46"/>
      <c r="CM551" s="46"/>
      <c r="CN551" s="46"/>
    </row>
    <row r="552">
      <c r="A552" s="46"/>
      <c r="B552" s="46"/>
      <c r="C552" s="46"/>
      <c r="D552" s="46"/>
      <c r="E552" s="46"/>
      <c r="F552" s="46"/>
      <c r="G552" s="46"/>
      <c r="H552" s="46"/>
      <c r="I552" s="46"/>
      <c r="J552" s="46"/>
      <c r="K552" s="46"/>
      <c r="L552" s="51"/>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51"/>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46"/>
      <c r="BZ552" s="46"/>
      <c r="CA552" s="46"/>
      <c r="CB552" s="46"/>
      <c r="CC552" s="46"/>
      <c r="CD552" s="46"/>
      <c r="CE552" s="46"/>
      <c r="CF552" s="46"/>
      <c r="CG552" s="46"/>
      <c r="CH552" s="46"/>
      <c r="CI552" s="46"/>
      <c r="CJ552" s="46"/>
      <c r="CK552" s="46"/>
      <c r="CL552" s="46"/>
      <c r="CM552" s="46"/>
      <c r="CN552" s="46"/>
    </row>
    <row r="553">
      <c r="A553" s="46"/>
      <c r="B553" s="46"/>
      <c r="C553" s="46"/>
      <c r="D553" s="46"/>
      <c r="E553" s="46"/>
      <c r="F553" s="46"/>
      <c r="G553" s="46"/>
      <c r="H553" s="46"/>
      <c r="I553" s="46"/>
      <c r="J553" s="46"/>
      <c r="K553" s="46"/>
      <c r="L553" s="51"/>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51"/>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46"/>
      <c r="BZ553" s="46"/>
      <c r="CA553" s="46"/>
      <c r="CB553" s="46"/>
      <c r="CC553" s="46"/>
      <c r="CD553" s="46"/>
      <c r="CE553" s="46"/>
      <c r="CF553" s="46"/>
      <c r="CG553" s="46"/>
      <c r="CH553" s="46"/>
      <c r="CI553" s="46"/>
      <c r="CJ553" s="46"/>
      <c r="CK553" s="46"/>
      <c r="CL553" s="46"/>
      <c r="CM553" s="46"/>
      <c r="CN553" s="46"/>
    </row>
    <row r="554">
      <c r="A554" s="46"/>
      <c r="B554" s="46"/>
      <c r="C554" s="46"/>
      <c r="D554" s="46"/>
      <c r="E554" s="46"/>
      <c r="F554" s="46"/>
      <c r="G554" s="46"/>
      <c r="H554" s="46"/>
      <c r="I554" s="46"/>
      <c r="J554" s="46"/>
      <c r="K554" s="46"/>
      <c r="L554" s="51"/>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51"/>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46"/>
      <c r="BZ554" s="46"/>
      <c r="CA554" s="46"/>
      <c r="CB554" s="46"/>
      <c r="CC554" s="46"/>
      <c r="CD554" s="46"/>
      <c r="CE554" s="46"/>
      <c r="CF554" s="46"/>
      <c r="CG554" s="46"/>
      <c r="CH554" s="46"/>
      <c r="CI554" s="46"/>
      <c r="CJ554" s="46"/>
      <c r="CK554" s="46"/>
      <c r="CL554" s="46"/>
      <c r="CM554" s="46"/>
      <c r="CN554" s="46"/>
    </row>
    <row r="555">
      <c r="A555" s="46"/>
      <c r="B555" s="46"/>
      <c r="C555" s="46"/>
      <c r="D555" s="46"/>
      <c r="E555" s="46"/>
      <c r="F555" s="46"/>
      <c r="G555" s="46"/>
      <c r="H555" s="46"/>
      <c r="I555" s="46"/>
      <c r="J555" s="46"/>
      <c r="K555" s="46"/>
      <c r="L555" s="51"/>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51"/>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6"/>
      <c r="BY555" s="46"/>
      <c r="BZ555" s="46"/>
      <c r="CA555" s="46"/>
      <c r="CB555" s="46"/>
      <c r="CC555" s="46"/>
      <c r="CD555" s="46"/>
      <c r="CE555" s="46"/>
      <c r="CF555" s="46"/>
      <c r="CG555" s="46"/>
      <c r="CH555" s="46"/>
      <c r="CI555" s="46"/>
      <c r="CJ555" s="46"/>
      <c r="CK555" s="46"/>
      <c r="CL555" s="46"/>
      <c r="CM555" s="46"/>
      <c r="CN555" s="46"/>
    </row>
    <row r="556">
      <c r="A556" s="46"/>
      <c r="B556" s="46"/>
      <c r="C556" s="46"/>
      <c r="D556" s="46"/>
      <c r="E556" s="46"/>
      <c r="F556" s="46"/>
      <c r="G556" s="46"/>
      <c r="H556" s="46"/>
      <c r="I556" s="46"/>
      <c r="J556" s="46"/>
      <c r="K556" s="46"/>
      <c r="L556" s="51"/>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51"/>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46"/>
      <c r="BZ556" s="46"/>
      <c r="CA556" s="46"/>
      <c r="CB556" s="46"/>
      <c r="CC556" s="46"/>
      <c r="CD556" s="46"/>
      <c r="CE556" s="46"/>
      <c r="CF556" s="46"/>
      <c r="CG556" s="46"/>
      <c r="CH556" s="46"/>
      <c r="CI556" s="46"/>
      <c r="CJ556" s="46"/>
      <c r="CK556" s="46"/>
      <c r="CL556" s="46"/>
      <c r="CM556" s="46"/>
      <c r="CN556" s="46"/>
    </row>
    <row r="557">
      <c r="A557" s="46"/>
      <c r="B557" s="46"/>
      <c r="C557" s="46"/>
      <c r="D557" s="46"/>
      <c r="E557" s="46"/>
      <c r="F557" s="46"/>
      <c r="G557" s="46"/>
      <c r="H557" s="46"/>
      <c r="I557" s="46"/>
      <c r="J557" s="46"/>
      <c r="K557" s="46"/>
      <c r="L557" s="51"/>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51"/>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6"/>
      <c r="BY557" s="46"/>
      <c r="BZ557" s="46"/>
      <c r="CA557" s="46"/>
      <c r="CB557" s="46"/>
      <c r="CC557" s="46"/>
      <c r="CD557" s="46"/>
      <c r="CE557" s="46"/>
      <c r="CF557" s="46"/>
      <c r="CG557" s="46"/>
      <c r="CH557" s="46"/>
      <c r="CI557" s="46"/>
      <c r="CJ557" s="46"/>
      <c r="CK557" s="46"/>
      <c r="CL557" s="46"/>
      <c r="CM557" s="46"/>
      <c r="CN557" s="46"/>
    </row>
    <row r="558">
      <c r="A558" s="46"/>
      <c r="B558" s="46"/>
      <c r="C558" s="46"/>
      <c r="D558" s="46"/>
      <c r="E558" s="46"/>
      <c r="F558" s="46"/>
      <c r="G558" s="46"/>
      <c r="H558" s="46"/>
      <c r="I558" s="46"/>
      <c r="J558" s="46"/>
      <c r="K558" s="46"/>
      <c r="L558" s="51"/>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51"/>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46"/>
      <c r="BZ558" s="46"/>
      <c r="CA558" s="46"/>
      <c r="CB558" s="46"/>
      <c r="CC558" s="46"/>
      <c r="CD558" s="46"/>
      <c r="CE558" s="46"/>
      <c r="CF558" s="46"/>
      <c r="CG558" s="46"/>
      <c r="CH558" s="46"/>
      <c r="CI558" s="46"/>
      <c r="CJ558" s="46"/>
      <c r="CK558" s="46"/>
      <c r="CL558" s="46"/>
      <c r="CM558" s="46"/>
      <c r="CN558" s="46"/>
    </row>
    <row r="559">
      <c r="A559" s="46"/>
      <c r="B559" s="46"/>
      <c r="C559" s="46"/>
      <c r="D559" s="46"/>
      <c r="E559" s="46"/>
      <c r="F559" s="46"/>
      <c r="G559" s="46"/>
      <c r="H559" s="46"/>
      <c r="I559" s="46"/>
      <c r="J559" s="46"/>
      <c r="K559" s="46"/>
      <c r="L559" s="51"/>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51"/>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6"/>
      <c r="BY559" s="46"/>
      <c r="BZ559" s="46"/>
      <c r="CA559" s="46"/>
      <c r="CB559" s="46"/>
      <c r="CC559" s="46"/>
      <c r="CD559" s="46"/>
      <c r="CE559" s="46"/>
      <c r="CF559" s="46"/>
      <c r="CG559" s="46"/>
      <c r="CH559" s="46"/>
      <c r="CI559" s="46"/>
      <c r="CJ559" s="46"/>
      <c r="CK559" s="46"/>
      <c r="CL559" s="46"/>
      <c r="CM559" s="46"/>
      <c r="CN559" s="46"/>
    </row>
    <row r="560">
      <c r="A560" s="46"/>
      <c r="B560" s="46"/>
      <c r="C560" s="46"/>
      <c r="D560" s="46"/>
      <c r="E560" s="46"/>
      <c r="F560" s="46"/>
      <c r="G560" s="46"/>
      <c r="H560" s="46"/>
      <c r="I560" s="46"/>
      <c r="J560" s="46"/>
      <c r="K560" s="46"/>
      <c r="L560" s="51"/>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51"/>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46"/>
      <c r="BZ560" s="46"/>
      <c r="CA560" s="46"/>
      <c r="CB560" s="46"/>
      <c r="CC560" s="46"/>
      <c r="CD560" s="46"/>
      <c r="CE560" s="46"/>
      <c r="CF560" s="46"/>
      <c r="CG560" s="46"/>
      <c r="CH560" s="46"/>
      <c r="CI560" s="46"/>
      <c r="CJ560" s="46"/>
      <c r="CK560" s="46"/>
      <c r="CL560" s="46"/>
      <c r="CM560" s="46"/>
      <c r="CN560" s="46"/>
    </row>
    <row r="561">
      <c r="A561" s="46"/>
      <c r="B561" s="46"/>
      <c r="C561" s="46"/>
      <c r="D561" s="46"/>
      <c r="E561" s="46"/>
      <c r="F561" s="46"/>
      <c r="G561" s="46"/>
      <c r="H561" s="46"/>
      <c r="I561" s="46"/>
      <c r="J561" s="46"/>
      <c r="K561" s="46"/>
      <c r="L561" s="51"/>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51"/>
      <c r="BB561" s="46"/>
      <c r="BC561" s="46"/>
      <c r="BD561" s="46"/>
      <c r="BE561" s="46"/>
      <c r="BF561" s="46"/>
      <c r="BG561" s="46"/>
      <c r="BH561" s="46"/>
      <c r="BI561" s="46"/>
      <c r="BJ561" s="46"/>
      <c r="BK561" s="46"/>
      <c r="BL561" s="46"/>
      <c r="BM561" s="46"/>
      <c r="BN561" s="46"/>
      <c r="BO561" s="46"/>
      <c r="BP561" s="46"/>
      <c r="BQ561" s="46"/>
      <c r="BR561" s="46"/>
      <c r="BS561" s="46"/>
      <c r="BT561" s="46"/>
      <c r="BU561" s="46"/>
      <c r="BV561" s="46"/>
      <c r="BW561" s="46"/>
      <c r="BX561" s="46"/>
      <c r="BY561" s="46"/>
      <c r="BZ561" s="46"/>
      <c r="CA561" s="46"/>
      <c r="CB561" s="46"/>
      <c r="CC561" s="46"/>
      <c r="CD561" s="46"/>
      <c r="CE561" s="46"/>
      <c r="CF561" s="46"/>
      <c r="CG561" s="46"/>
      <c r="CH561" s="46"/>
      <c r="CI561" s="46"/>
      <c r="CJ561" s="46"/>
      <c r="CK561" s="46"/>
      <c r="CL561" s="46"/>
      <c r="CM561" s="46"/>
      <c r="CN561" s="46"/>
    </row>
    <row r="562">
      <c r="A562" s="46"/>
      <c r="B562" s="46"/>
      <c r="C562" s="46"/>
      <c r="D562" s="46"/>
      <c r="E562" s="46"/>
      <c r="F562" s="46"/>
      <c r="G562" s="46"/>
      <c r="H562" s="46"/>
      <c r="I562" s="46"/>
      <c r="J562" s="46"/>
      <c r="K562" s="46"/>
      <c r="L562" s="51"/>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51"/>
      <c r="BB562" s="46"/>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46"/>
      <c r="BZ562" s="46"/>
      <c r="CA562" s="46"/>
      <c r="CB562" s="46"/>
      <c r="CC562" s="46"/>
      <c r="CD562" s="46"/>
      <c r="CE562" s="46"/>
      <c r="CF562" s="46"/>
      <c r="CG562" s="46"/>
      <c r="CH562" s="46"/>
      <c r="CI562" s="46"/>
      <c r="CJ562" s="46"/>
      <c r="CK562" s="46"/>
      <c r="CL562" s="46"/>
      <c r="CM562" s="46"/>
      <c r="CN562" s="46"/>
    </row>
    <row r="563">
      <c r="A563" s="46"/>
      <c r="B563" s="46"/>
      <c r="C563" s="46"/>
      <c r="D563" s="46"/>
      <c r="E563" s="46"/>
      <c r="F563" s="46"/>
      <c r="G563" s="46"/>
      <c r="H563" s="46"/>
      <c r="I563" s="46"/>
      <c r="J563" s="46"/>
      <c r="K563" s="46"/>
      <c r="L563" s="51"/>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51"/>
      <c r="BB563" s="46"/>
      <c r="BC563" s="46"/>
      <c r="BD563" s="46"/>
      <c r="BE563" s="46"/>
      <c r="BF563" s="46"/>
      <c r="BG563" s="46"/>
      <c r="BH563" s="46"/>
      <c r="BI563" s="46"/>
      <c r="BJ563" s="46"/>
      <c r="BK563" s="46"/>
      <c r="BL563" s="46"/>
      <c r="BM563" s="46"/>
      <c r="BN563" s="46"/>
      <c r="BO563" s="46"/>
      <c r="BP563" s="46"/>
      <c r="BQ563" s="46"/>
      <c r="BR563" s="46"/>
      <c r="BS563" s="46"/>
      <c r="BT563" s="46"/>
      <c r="BU563" s="46"/>
      <c r="BV563" s="46"/>
      <c r="BW563" s="46"/>
      <c r="BX563" s="46"/>
      <c r="BY563" s="46"/>
      <c r="BZ563" s="46"/>
      <c r="CA563" s="46"/>
      <c r="CB563" s="46"/>
      <c r="CC563" s="46"/>
      <c r="CD563" s="46"/>
      <c r="CE563" s="46"/>
      <c r="CF563" s="46"/>
      <c r="CG563" s="46"/>
      <c r="CH563" s="46"/>
      <c r="CI563" s="46"/>
      <c r="CJ563" s="46"/>
      <c r="CK563" s="46"/>
      <c r="CL563" s="46"/>
      <c r="CM563" s="46"/>
      <c r="CN563" s="46"/>
    </row>
    <row r="564">
      <c r="A564" s="46"/>
      <c r="B564" s="46"/>
      <c r="C564" s="46"/>
      <c r="D564" s="46"/>
      <c r="E564" s="46"/>
      <c r="F564" s="46"/>
      <c r="G564" s="46"/>
      <c r="H564" s="46"/>
      <c r="I564" s="46"/>
      <c r="J564" s="46"/>
      <c r="K564" s="46"/>
      <c r="L564" s="51"/>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51"/>
      <c r="BB564" s="46"/>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46"/>
      <c r="BZ564" s="46"/>
      <c r="CA564" s="46"/>
      <c r="CB564" s="46"/>
      <c r="CC564" s="46"/>
      <c r="CD564" s="46"/>
      <c r="CE564" s="46"/>
      <c r="CF564" s="46"/>
      <c r="CG564" s="46"/>
      <c r="CH564" s="46"/>
      <c r="CI564" s="46"/>
      <c r="CJ564" s="46"/>
      <c r="CK564" s="46"/>
      <c r="CL564" s="46"/>
      <c r="CM564" s="46"/>
      <c r="CN564" s="46"/>
    </row>
    <row r="565">
      <c r="A565" s="46"/>
      <c r="B565" s="46"/>
      <c r="C565" s="46"/>
      <c r="D565" s="46"/>
      <c r="E565" s="46"/>
      <c r="F565" s="46"/>
      <c r="G565" s="46"/>
      <c r="H565" s="46"/>
      <c r="I565" s="46"/>
      <c r="J565" s="46"/>
      <c r="K565" s="46"/>
      <c r="L565" s="51"/>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51"/>
      <c r="BB565" s="46"/>
      <c r="BC565" s="46"/>
      <c r="BD565" s="46"/>
      <c r="BE565" s="46"/>
      <c r="BF565" s="46"/>
      <c r="BG565" s="46"/>
      <c r="BH565" s="46"/>
      <c r="BI565" s="46"/>
      <c r="BJ565" s="46"/>
      <c r="BK565" s="46"/>
      <c r="BL565" s="46"/>
      <c r="BM565" s="46"/>
      <c r="BN565" s="46"/>
      <c r="BO565" s="46"/>
      <c r="BP565" s="46"/>
      <c r="BQ565" s="46"/>
      <c r="BR565" s="46"/>
      <c r="BS565" s="46"/>
      <c r="BT565" s="46"/>
      <c r="BU565" s="46"/>
      <c r="BV565" s="46"/>
      <c r="BW565" s="46"/>
      <c r="BX565" s="46"/>
      <c r="BY565" s="46"/>
      <c r="BZ565" s="46"/>
      <c r="CA565" s="46"/>
      <c r="CB565" s="46"/>
      <c r="CC565" s="46"/>
      <c r="CD565" s="46"/>
      <c r="CE565" s="46"/>
      <c r="CF565" s="46"/>
      <c r="CG565" s="46"/>
      <c r="CH565" s="46"/>
      <c r="CI565" s="46"/>
      <c r="CJ565" s="46"/>
      <c r="CK565" s="46"/>
      <c r="CL565" s="46"/>
      <c r="CM565" s="46"/>
      <c r="CN565" s="46"/>
    </row>
    <row r="566">
      <c r="A566" s="46"/>
      <c r="B566" s="46"/>
      <c r="C566" s="46"/>
      <c r="D566" s="46"/>
      <c r="E566" s="46"/>
      <c r="F566" s="46"/>
      <c r="G566" s="46"/>
      <c r="H566" s="46"/>
      <c r="I566" s="46"/>
      <c r="J566" s="46"/>
      <c r="K566" s="46"/>
      <c r="L566" s="51"/>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51"/>
      <c r="BB566" s="46"/>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46"/>
      <c r="BZ566" s="46"/>
      <c r="CA566" s="46"/>
      <c r="CB566" s="46"/>
      <c r="CC566" s="46"/>
      <c r="CD566" s="46"/>
      <c r="CE566" s="46"/>
      <c r="CF566" s="46"/>
      <c r="CG566" s="46"/>
      <c r="CH566" s="46"/>
      <c r="CI566" s="46"/>
      <c r="CJ566" s="46"/>
      <c r="CK566" s="46"/>
      <c r="CL566" s="46"/>
      <c r="CM566" s="46"/>
      <c r="CN566" s="46"/>
    </row>
    <row r="567">
      <c r="A567" s="46"/>
      <c r="B567" s="46"/>
      <c r="C567" s="46"/>
      <c r="D567" s="46"/>
      <c r="E567" s="46"/>
      <c r="F567" s="46"/>
      <c r="G567" s="46"/>
      <c r="H567" s="46"/>
      <c r="I567" s="46"/>
      <c r="J567" s="46"/>
      <c r="K567" s="46"/>
      <c r="L567" s="51"/>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51"/>
      <c r="BB567" s="46"/>
      <c r="BC567" s="46"/>
      <c r="BD567" s="46"/>
      <c r="BE567" s="46"/>
      <c r="BF567" s="46"/>
      <c r="BG567" s="46"/>
      <c r="BH567" s="46"/>
      <c r="BI567" s="46"/>
      <c r="BJ567" s="46"/>
      <c r="BK567" s="46"/>
      <c r="BL567" s="46"/>
      <c r="BM567" s="46"/>
      <c r="BN567" s="46"/>
      <c r="BO567" s="46"/>
      <c r="BP567" s="46"/>
      <c r="BQ567" s="46"/>
      <c r="BR567" s="46"/>
      <c r="BS567" s="46"/>
      <c r="BT567" s="46"/>
      <c r="BU567" s="46"/>
      <c r="BV567" s="46"/>
      <c r="BW567" s="46"/>
      <c r="BX567" s="46"/>
      <c r="BY567" s="46"/>
      <c r="BZ567" s="46"/>
      <c r="CA567" s="46"/>
      <c r="CB567" s="46"/>
      <c r="CC567" s="46"/>
      <c r="CD567" s="46"/>
      <c r="CE567" s="46"/>
      <c r="CF567" s="46"/>
      <c r="CG567" s="46"/>
      <c r="CH567" s="46"/>
      <c r="CI567" s="46"/>
      <c r="CJ567" s="46"/>
      <c r="CK567" s="46"/>
      <c r="CL567" s="46"/>
      <c r="CM567" s="46"/>
      <c r="CN567" s="46"/>
    </row>
    <row r="568">
      <c r="A568" s="46"/>
      <c r="B568" s="46"/>
      <c r="C568" s="46"/>
      <c r="D568" s="46"/>
      <c r="E568" s="46"/>
      <c r="F568" s="46"/>
      <c r="G568" s="46"/>
      <c r="H568" s="46"/>
      <c r="I568" s="46"/>
      <c r="J568" s="46"/>
      <c r="K568" s="46"/>
      <c r="L568" s="51"/>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51"/>
      <c r="BB568" s="46"/>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46"/>
      <c r="BZ568" s="46"/>
      <c r="CA568" s="46"/>
      <c r="CB568" s="46"/>
      <c r="CC568" s="46"/>
      <c r="CD568" s="46"/>
      <c r="CE568" s="46"/>
      <c r="CF568" s="46"/>
      <c r="CG568" s="46"/>
      <c r="CH568" s="46"/>
      <c r="CI568" s="46"/>
      <c r="CJ568" s="46"/>
      <c r="CK568" s="46"/>
      <c r="CL568" s="46"/>
      <c r="CM568" s="46"/>
      <c r="CN568" s="46"/>
    </row>
    <row r="569">
      <c r="A569" s="46"/>
      <c r="B569" s="46"/>
      <c r="C569" s="46"/>
      <c r="D569" s="46"/>
      <c r="E569" s="46"/>
      <c r="F569" s="46"/>
      <c r="G569" s="46"/>
      <c r="H569" s="46"/>
      <c r="I569" s="46"/>
      <c r="J569" s="46"/>
      <c r="K569" s="46"/>
      <c r="L569" s="51"/>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51"/>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6"/>
      <c r="BY569" s="46"/>
      <c r="BZ569" s="46"/>
      <c r="CA569" s="46"/>
      <c r="CB569" s="46"/>
      <c r="CC569" s="46"/>
      <c r="CD569" s="46"/>
      <c r="CE569" s="46"/>
      <c r="CF569" s="46"/>
      <c r="CG569" s="46"/>
      <c r="CH569" s="46"/>
      <c r="CI569" s="46"/>
      <c r="CJ569" s="46"/>
      <c r="CK569" s="46"/>
      <c r="CL569" s="46"/>
      <c r="CM569" s="46"/>
      <c r="CN569" s="46"/>
    </row>
    <row r="570">
      <c r="A570" s="46"/>
      <c r="B570" s="46"/>
      <c r="C570" s="46"/>
      <c r="D570" s="46"/>
      <c r="E570" s="46"/>
      <c r="F570" s="46"/>
      <c r="G570" s="46"/>
      <c r="H570" s="46"/>
      <c r="I570" s="46"/>
      <c r="J570" s="46"/>
      <c r="K570" s="46"/>
      <c r="L570" s="51"/>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51"/>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46"/>
      <c r="BZ570" s="46"/>
      <c r="CA570" s="46"/>
      <c r="CB570" s="46"/>
      <c r="CC570" s="46"/>
      <c r="CD570" s="46"/>
      <c r="CE570" s="46"/>
      <c r="CF570" s="46"/>
      <c r="CG570" s="46"/>
      <c r="CH570" s="46"/>
      <c r="CI570" s="46"/>
      <c r="CJ570" s="46"/>
      <c r="CK570" s="46"/>
      <c r="CL570" s="46"/>
      <c r="CM570" s="46"/>
      <c r="CN570" s="46"/>
    </row>
    <row r="571">
      <c r="A571" s="46"/>
      <c r="B571" s="46"/>
      <c r="C571" s="46"/>
      <c r="D571" s="46"/>
      <c r="E571" s="46"/>
      <c r="F571" s="46"/>
      <c r="G571" s="46"/>
      <c r="H571" s="46"/>
      <c r="I571" s="46"/>
      <c r="J571" s="46"/>
      <c r="K571" s="46"/>
      <c r="L571" s="51"/>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51"/>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6"/>
      <c r="BY571" s="46"/>
      <c r="BZ571" s="46"/>
      <c r="CA571" s="46"/>
      <c r="CB571" s="46"/>
      <c r="CC571" s="46"/>
      <c r="CD571" s="46"/>
      <c r="CE571" s="46"/>
      <c r="CF571" s="46"/>
      <c r="CG571" s="46"/>
      <c r="CH571" s="46"/>
      <c r="CI571" s="46"/>
      <c r="CJ571" s="46"/>
      <c r="CK571" s="46"/>
      <c r="CL571" s="46"/>
      <c r="CM571" s="46"/>
      <c r="CN571" s="46"/>
    </row>
    <row r="572">
      <c r="A572" s="46"/>
      <c r="B572" s="46"/>
      <c r="C572" s="46"/>
      <c r="D572" s="46"/>
      <c r="E572" s="46"/>
      <c r="F572" s="46"/>
      <c r="G572" s="46"/>
      <c r="H572" s="46"/>
      <c r="I572" s="46"/>
      <c r="J572" s="46"/>
      <c r="K572" s="46"/>
      <c r="L572" s="51"/>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51"/>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46"/>
      <c r="BZ572" s="46"/>
      <c r="CA572" s="46"/>
      <c r="CB572" s="46"/>
      <c r="CC572" s="46"/>
      <c r="CD572" s="46"/>
      <c r="CE572" s="46"/>
      <c r="CF572" s="46"/>
      <c r="CG572" s="46"/>
      <c r="CH572" s="46"/>
      <c r="CI572" s="46"/>
      <c r="CJ572" s="46"/>
      <c r="CK572" s="46"/>
      <c r="CL572" s="46"/>
      <c r="CM572" s="46"/>
      <c r="CN572" s="46"/>
    </row>
    <row r="573">
      <c r="A573" s="46"/>
      <c r="B573" s="46"/>
      <c r="C573" s="46"/>
      <c r="D573" s="46"/>
      <c r="E573" s="46"/>
      <c r="F573" s="46"/>
      <c r="G573" s="46"/>
      <c r="H573" s="46"/>
      <c r="I573" s="46"/>
      <c r="J573" s="46"/>
      <c r="K573" s="46"/>
      <c r="L573" s="51"/>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51"/>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6"/>
      <c r="BY573" s="46"/>
      <c r="BZ573" s="46"/>
      <c r="CA573" s="46"/>
      <c r="CB573" s="46"/>
      <c r="CC573" s="46"/>
      <c r="CD573" s="46"/>
      <c r="CE573" s="46"/>
      <c r="CF573" s="46"/>
      <c r="CG573" s="46"/>
      <c r="CH573" s="46"/>
      <c r="CI573" s="46"/>
      <c r="CJ573" s="46"/>
      <c r="CK573" s="46"/>
      <c r="CL573" s="46"/>
      <c r="CM573" s="46"/>
      <c r="CN573" s="46"/>
    </row>
    <row r="574">
      <c r="A574" s="46"/>
      <c r="B574" s="46"/>
      <c r="C574" s="46"/>
      <c r="D574" s="46"/>
      <c r="E574" s="46"/>
      <c r="F574" s="46"/>
      <c r="G574" s="46"/>
      <c r="H574" s="46"/>
      <c r="I574" s="46"/>
      <c r="J574" s="46"/>
      <c r="K574" s="46"/>
      <c r="L574" s="51"/>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51"/>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46"/>
      <c r="BZ574" s="46"/>
      <c r="CA574" s="46"/>
      <c r="CB574" s="46"/>
      <c r="CC574" s="46"/>
      <c r="CD574" s="46"/>
      <c r="CE574" s="46"/>
      <c r="CF574" s="46"/>
      <c r="CG574" s="46"/>
      <c r="CH574" s="46"/>
      <c r="CI574" s="46"/>
      <c r="CJ574" s="46"/>
      <c r="CK574" s="46"/>
      <c r="CL574" s="46"/>
      <c r="CM574" s="46"/>
      <c r="CN574" s="46"/>
    </row>
    <row r="575">
      <c r="A575" s="46"/>
      <c r="B575" s="46"/>
      <c r="C575" s="46"/>
      <c r="D575" s="46"/>
      <c r="E575" s="46"/>
      <c r="F575" s="46"/>
      <c r="G575" s="46"/>
      <c r="H575" s="46"/>
      <c r="I575" s="46"/>
      <c r="J575" s="46"/>
      <c r="K575" s="46"/>
      <c r="L575" s="51"/>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51"/>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6"/>
      <c r="BY575" s="46"/>
      <c r="BZ575" s="46"/>
      <c r="CA575" s="46"/>
      <c r="CB575" s="46"/>
      <c r="CC575" s="46"/>
      <c r="CD575" s="46"/>
      <c r="CE575" s="46"/>
      <c r="CF575" s="46"/>
      <c r="CG575" s="46"/>
      <c r="CH575" s="46"/>
      <c r="CI575" s="46"/>
      <c r="CJ575" s="46"/>
      <c r="CK575" s="46"/>
      <c r="CL575" s="46"/>
      <c r="CM575" s="46"/>
      <c r="CN575" s="46"/>
    </row>
    <row r="576">
      <c r="A576" s="46"/>
      <c r="B576" s="46"/>
      <c r="C576" s="46"/>
      <c r="D576" s="46"/>
      <c r="E576" s="46"/>
      <c r="F576" s="46"/>
      <c r="G576" s="46"/>
      <c r="H576" s="46"/>
      <c r="I576" s="46"/>
      <c r="J576" s="46"/>
      <c r="K576" s="46"/>
      <c r="L576" s="51"/>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51"/>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46"/>
      <c r="BZ576" s="46"/>
      <c r="CA576" s="46"/>
      <c r="CB576" s="46"/>
      <c r="CC576" s="46"/>
      <c r="CD576" s="46"/>
      <c r="CE576" s="46"/>
      <c r="CF576" s="46"/>
      <c r="CG576" s="46"/>
      <c r="CH576" s="46"/>
      <c r="CI576" s="46"/>
      <c r="CJ576" s="46"/>
      <c r="CK576" s="46"/>
      <c r="CL576" s="46"/>
      <c r="CM576" s="46"/>
      <c r="CN576" s="46"/>
    </row>
    <row r="577">
      <c r="A577" s="46"/>
      <c r="B577" s="46"/>
      <c r="C577" s="46"/>
      <c r="D577" s="46"/>
      <c r="E577" s="46"/>
      <c r="F577" s="46"/>
      <c r="G577" s="46"/>
      <c r="H577" s="46"/>
      <c r="I577" s="46"/>
      <c r="J577" s="46"/>
      <c r="K577" s="46"/>
      <c r="L577" s="51"/>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51"/>
      <c r="BB577" s="46"/>
      <c r="BC577" s="46"/>
      <c r="BD577" s="46"/>
      <c r="BE577" s="46"/>
      <c r="BF577" s="46"/>
      <c r="BG577" s="46"/>
      <c r="BH577" s="46"/>
      <c r="BI577" s="46"/>
      <c r="BJ577" s="46"/>
      <c r="BK577" s="46"/>
      <c r="BL577" s="46"/>
      <c r="BM577" s="46"/>
      <c r="BN577" s="46"/>
      <c r="BO577" s="46"/>
      <c r="BP577" s="46"/>
      <c r="BQ577" s="46"/>
      <c r="BR577" s="46"/>
      <c r="BS577" s="46"/>
      <c r="BT577" s="46"/>
      <c r="BU577" s="46"/>
      <c r="BV577" s="46"/>
      <c r="BW577" s="46"/>
      <c r="BX577" s="46"/>
      <c r="BY577" s="46"/>
      <c r="BZ577" s="46"/>
      <c r="CA577" s="46"/>
      <c r="CB577" s="46"/>
      <c r="CC577" s="46"/>
      <c r="CD577" s="46"/>
      <c r="CE577" s="46"/>
      <c r="CF577" s="46"/>
      <c r="CG577" s="46"/>
      <c r="CH577" s="46"/>
      <c r="CI577" s="46"/>
      <c r="CJ577" s="46"/>
      <c r="CK577" s="46"/>
      <c r="CL577" s="46"/>
      <c r="CM577" s="46"/>
      <c r="CN577" s="46"/>
    </row>
    <row r="578">
      <c r="A578" s="46"/>
      <c r="B578" s="46"/>
      <c r="C578" s="46"/>
      <c r="D578" s="46"/>
      <c r="E578" s="46"/>
      <c r="F578" s="46"/>
      <c r="G578" s="46"/>
      <c r="H578" s="46"/>
      <c r="I578" s="46"/>
      <c r="J578" s="46"/>
      <c r="K578" s="46"/>
      <c r="L578" s="51"/>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51"/>
      <c r="BB578" s="46"/>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46"/>
      <c r="BZ578" s="46"/>
      <c r="CA578" s="46"/>
      <c r="CB578" s="46"/>
      <c r="CC578" s="46"/>
      <c r="CD578" s="46"/>
      <c r="CE578" s="46"/>
      <c r="CF578" s="46"/>
      <c r="CG578" s="46"/>
      <c r="CH578" s="46"/>
      <c r="CI578" s="46"/>
      <c r="CJ578" s="46"/>
      <c r="CK578" s="46"/>
      <c r="CL578" s="46"/>
      <c r="CM578" s="46"/>
      <c r="CN578" s="46"/>
    </row>
    <row r="579">
      <c r="A579" s="46"/>
      <c r="B579" s="46"/>
      <c r="C579" s="46"/>
      <c r="D579" s="46"/>
      <c r="E579" s="46"/>
      <c r="F579" s="46"/>
      <c r="G579" s="46"/>
      <c r="H579" s="46"/>
      <c r="I579" s="46"/>
      <c r="J579" s="46"/>
      <c r="K579" s="46"/>
      <c r="L579" s="51"/>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51"/>
      <c r="BB579" s="46"/>
      <c r="BC579" s="46"/>
      <c r="BD579" s="46"/>
      <c r="BE579" s="46"/>
      <c r="BF579" s="46"/>
      <c r="BG579" s="46"/>
      <c r="BH579" s="46"/>
      <c r="BI579" s="46"/>
      <c r="BJ579" s="46"/>
      <c r="BK579" s="46"/>
      <c r="BL579" s="46"/>
      <c r="BM579" s="46"/>
      <c r="BN579" s="46"/>
      <c r="BO579" s="46"/>
      <c r="BP579" s="46"/>
      <c r="BQ579" s="46"/>
      <c r="BR579" s="46"/>
      <c r="BS579" s="46"/>
      <c r="BT579" s="46"/>
      <c r="BU579" s="46"/>
      <c r="BV579" s="46"/>
      <c r="BW579" s="46"/>
      <c r="BX579" s="46"/>
      <c r="BY579" s="46"/>
      <c r="BZ579" s="46"/>
      <c r="CA579" s="46"/>
      <c r="CB579" s="46"/>
      <c r="CC579" s="46"/>
      <c r="CD579" s="46"/>
      <c r="CE579" s="46"/>
      <c r="CF579" s="46"/>
      <c r="CG579" s="46"/>
      <c r="CH579" s="46"/>
      <c r="CI579" s="46"/>
      <c r="CJ579" s="46"/>
      <c r="CK579" s="46"/>
      <c r="CL579" s="46"/>
      <c r="CM579" s="46"/>
      <c r="CN579" s="46"/>
    </row>
    <row r="580">
      <c r="A580" s="46"/>
      <c r="B580" s="46"/>
      <c r="C580" s="46"/>
      <c r="D580" s="46"/>
      <c r="E580" s="46"/>
      <c r="F580" s="46"/>
      <c r="G580" s="46"/>
      <c r="H580" s="46"/>
      <c r="I580" s="46"/>
      <c r="J580" s="46"/>
      <c r="K580" s="46"/>
      <c r="L580" s="51"/>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51"/>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6"/>
      <c r="CD580" s="46"/>
      <c r="CE580" s="46"/>
      <c r="CF580" s="46"/>
      <c r="CG580" s="46"/>
      <c r="CH580" s="46"/>
      <c r="CI580" s="46"/>
      <c r="CJ580" s="46"/>
      <c r="CK580" s="46"/>
      <c r="CL580" s="46"/>
      <c r="CM580" s="46"/>
      <c r="CN580" s="46"/>
    </row>
    <row r="581">
      <c r="A581" s="46"/>
      <c r="B581" s="46"/>
      <c r="C581" s="46"/>
      <c r="D581" s="46"/>
      <c r="E581" s="46"/>
      <c r="F581" s="46"/>
      <c r="G581" s="46"/>
      <c r="H581" s="46"/>
      <c r="I581" s="46"/>
      <c r="J581" s="46"/>
      <c r="K581" s="46"/>
      <c r="L581" s="51"/>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51"/>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46"/>
      <c r="BZ581" s="46"/>
      <c r="CA581" s="46"/>
      <c r="CB581" s="46"/>
      <c r="CC581" s="46"/>
      <c r="CD581" s="46"/>
      <c r="CE581" s="46"/>
      <c r="CF581" s="46"/>
      <c r="CG581" s="46"/>
      <c r="CH581" s="46"/>
      <c r="CI581" s="46"/>
      <c r="CJ581" s="46"/>
      <c r="CK581" s="46"/>
      <c r="CL581" s="46"/>
      <c r="CM581" s="46"/>
      <c r="CN581" s="46"/>
    </row>
    <row r="582">
      <c r="A582" s="46"/>
      <c r="B582" s="46"/>
      <c r="C582" s="46"/>
      <c r="D582" s="46"/>
      <c r="E582" s="46"/>
      <c r="F582" s="46"/>
      <c r="G582" s="46"/>
      <c r="H582" s="46"/>
      <c r="I582" s="46"/>
      <c r="J582" s="46"/>
      <c r="K582" s="46"/>
      <c r="L582" s="51"/>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51"/>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6"/>
      <c r="CD582" s="46"/>
      <c r="CE582" s="46"/>
      <c r="CF582" s="46"/>
      <c r="CG582" s="46"/>
      <c r="CH582" s="46"/>
      <c r="CI582" s="46"/>
      <c r="CJ582" s="46"/>
      <c r="CK582" s="46"/>
      <c r="CL582" s="46"/>
      <c r="CM582" s="46"/>
      <c r="CN582" s="46"/>
    </row>
    <row r="583">
      <c r="A583" s="46"/>
      <c r="B583" s="46"/>
      <c r="C583" s="46"/>
      <c r="D583" s="46"/>
      <c r="E583" s="46"/>
      <c r="F583" s="46"/>
      <c r="G583" s="46"/>
      <c r="H583" s="46"/>
      <c r="I583" s="46"/>
      <c r="J583" s="46"/>
      <c r="K583" s="46"/>
      <c r="L583" s="51"/>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51"/>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46"/>
      <c r="BZ583" s="46"/>
      <c r="CA583" s="46"/>
      <c r="CB583" s="46"/>
      <c r="CC583" s="46"/>
      <c r="CD583" s="46"/>
      <c r="CE583" s="46"/>
      <c r="CF583" s="46"/>
      <c r="CG583" s="46"/>
      <c r="CH583" s="46"/>
      <c r="CI583" s="46"/>
      <c r="CJ583" s="46"/>
      <c r="CK583" s="46"/>
      <c r="CL583" s="46"/>
      <c r="CM583" s="46"/>
      <c r="CN583" s="46"/>
    </row>
    <row r="584">
      <c r="A584" s="46"/>
      <c r="B584" s="46"/>
      <c r="C584" s="46"/>
      <c r="D584" s="46"/>
      <c r="E584" s="46"/>
      <c r="F584" s="46"/>
      <c r="G584" s="46"/>
      <c r="H584" s="46"/>
      <c r="I584" s="46"/>
      <c r="J584" s="46"/>
      <c r="K584" s="46"/>
      <c r="L584" s="51"/>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51"/>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6"/>
      <c r="CD584" s="46"/>
      <c r="CE584" s="46"/>
      <c r="CF584" s="46"/>
      <c r="CG584" s="46"/>
      <c r="CH584" s="46"/>
      <c r="CI584" s="46"/>
      <c r="CJ584" s="46"/>
      <c r="CK584" s="46"/>
      <c r="CL584" s="46"/>
      <c r="CM584" s="46"/>
      <c r="CN584" s="46"/>
    </row>
    <row r="585">
      <c r="A585" s="46"/>
      <c r="B585" s="46"/>
      <c r="C585" s="46"/>
      <c r="D585" s="46"/>
      <c r="E585" s="46"/>
      <c r="F585" s="46"/>
      <c r="G585" s="46"/>
      <c r="H585" s="46"/>
      <c r="I585" s="46"/>
      <c r="J585" s="46"/>
      <c r="K585" s="46"/>
      <c r="L585" s="51"/>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51"/>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46"/>
      <c r="BZ585" s="46"/>
      <c r="CA585" s="46"/>
      <c r="CB585" s="46"/>
      <c r="CC585" s="46"/>
      <c r="CD585" s="46"/>
      <c r="CE585" s="46"/>
      <c r="CF585" s="46"/>
      <c r="CG585" s="46"/>
      <c r="CH585" s="46"/>
      <c r="CI585" s="46"/>
      <c r="CJ585" s="46"/>
      <c r="CK585" s="46"/>
      <c r="CL585" s="46"/>
      <c r="CM585" s="46"/>
      <c r="CN585" s="46"/>
    </row>
    <row r="586">
      <c r="A586" s="46"/>
      <c r="B586" s="46"/>
      <c r="C586" s="46"/>
      <c r="D586" s="46"/>
      <c r="E586" s="46"/>
      <c r="F586" s="46"/>
      <c r="G586" s="46"/>
      <c r="H586" s="46"/>
      <c r="I586" s="46"/>
      <c r="J586" s="46"/>
      <c r="K586" s="46"/>
      <c r="L586" s="51"/>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51"/>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6"/>
      <c r="CD586" s="46"/>
      <c r="CE586" s="46"/>
      <c r="CF586" s="46"/>
      <c r="CG586" s="46"/>
      <c r="CH586" s="46"/>
      <c r="CI586" s="46"/>
      <c r="CJ586" s="46"/>
      <c r="CK586" s="46"/>
      <c r="CL586" s="46"/>
      <c r="CM586" s="46"/>
      <c r="CN586" s="46"/>
    </row>
    <row r="587">
      <c r="A587" s="46"/>
      <c r="B587" s="46"/>
      <c r="C587" s="46"/>
      <c r="D587" s="46"/>
      <c r="E587" s="46"/>
      <c r="F587" s="46"/>
      <c r="G587" s="46"/>
      <c r="H587" s="46"/>
      <c r="I587" s="46"/>
      <c r="J587" s="46"/>
      <c r="K587" s="46"/>
      <c r="L587" s="51"/>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51"/>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46"/>
      <c r="BZ587" s="46"/>
      <c r="CA587" s="46"/>
      <c r="CB587" s="46"/>
      <c r="CC587" s="46"/>
      <c r="CD587" s="46"/>
      <c r="CE587" s="46"/>
      <c r="CF587" s="46"/>
      <c r="CG587" s="46"/>
      <c r="CH587" s="46"/>
      <c r="CI587" s="46"/>
      <c r="CJ587" s="46"/>
      <c r="CK587" s="46"/>
      <c r="CL587" s="46"/>
      <c r="CM587" s="46"/>
      <c r="CN587" s="46"/>
    </row>
    <row r="588">
      <c r="A588" s="46"/>
      <c r="B588" s="46"/>
      <c r="C588" s="46"/>
      <c r="D588" s="46"/>
      <c r="E588" s="46"/>
      <c r="F588" s="46"/>
      <c r="G588" s="46"/>
      <c r="H588" s="46"/>
      <c r="I588" s="46"/>
      <c r="J588" s="46"/>
      <c r="K588" s="46"/>
      <c r="L588" s="51"/>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51"/>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6"/>
      <c r="CD588" s="46"/>
      <c r="CE588" s="46"/>
      <c r="CF588" s="46"/>
      <c r="CG588" s="46"/>
      <c r="CH588" s="46"/>
      <c r="CI588" s="46"/>
      <c r="CJ588" s="46"/>
      <c r="CK588" s="46"/>
      <c r="CL588" s="46"/>
      <c r="CM588" s="46"/>
      <c r="CN588" s="46"/>
    </row>
    <row r="589">
      <c r="A589" s="46"/>
      <c r="B589" s="46"/>
      <c r="C589" s="46"/>
      <c r="D589" s="46"/>
      <c r="E589" s="46"/>
      <c r="F589" s="46"/>
      <c r="G589" s="46"/>
      <c r="H589" s="46"/>
      <c r="I589" s="46"/>
      <c r="J589" s="46"/>
      <c r="K589" s="46"/>
      <c r="L589" s="51"/>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51"/>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6"/>
      <c r="BY589" s="46"/>
      <c r="BZ589" s="46"/>
      <c r="CA589" s="46"/>
      <c r="CB589" s="46"/>
      <c r="CC589" s="46"/>
      <c r="CD589" s="46"/>
      <c r="CE589" s="46"/>
      <c r="CF589" s="46"/>
      <c r="CG589" s="46"/>
      <c r="CH589" s="46"/>
      <c r="CI589" s="46"/>
      <c r="CJ589" s="46"/>
      <c r="CK589" s="46"/>
      <c r="CL589" s="46"/>
      <c r="CM589" s="46"/>
      <c r="CN589" s="46"/>
    </row>
    <row r="590">
      <c r="A590" s="46"/>
      <c r="B590" s="46"/>
      <c r="C590" s="46"/>
      <c r="D590" s="46"/>
      <c r="E590" s="46"/>
      <c r="F590" s="46"/>
      <c r="G590" s="46"/>
      <c r="H590" s="46"/>
      <c r="I590" s="46"/>
      <c r="J590" s="46"/>
      <c r="K590" s="46"/>
      <c r="L590" s="51"/>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51"/>
      <c r="BB590" s="46"/>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46"/>
      <c r="BZ590" s="46"/>
      <c r="CA590" s="46"/>
      <c r="CB590" s="46"/>
      <c r="CC590" s="46"/>
      <c r="CD590" s="46"/>
      <c r="CE590" s="46"/>
      <c r="CF590" s="46"/>
      <c r="CG590" s="46"/>
      <c r="CH590" s="46"/>
      <c r="CI590" s="46"/>
      <c r="CJ590" s="46"/>
      <c r="CK590" s="46"/>
      <c r="CL590" s="46"/>
      <c r="CM590" s="46"/>
      <c r="CN590" s="46"/>
    </row>
    <row r="591">
      <c r="A591" s="46"/>
      <c r="B591" s="46"/>
      <c r="C591" s="46"/>
      <c r="D591" s="46"/>
      <c r="E591" s="46"/>
      <c r="F591" s="46"/>
      <c r="G591" s="46"/>
      <c r="H591" s="46"/>
      <c r="I591" s="46"/>
      <c r="J591" s="46"/>
      <c r="K591" s="46"/>
      <c r="L591" s="51"/>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51"/>
      <c r="BB591" s="46"/>
      <c r="BC591" s="46"/>
      <c r="BD591" s="46"/>
      <c r="BE591" s="46"/>
      <c r="BF591" s="46"/>
      <c r="BG591" s="46"/>
      <c r="BH591" s="46"/>
      <c r="BI591" s="46"/>
      <c r="BJ591" s="46"/>
      <c r="BK591" s="46"/>
      <c r="BL591" s="46"/>
      <c r="BM591" s="46"/>
      <c r="BN591" s="46"/>
      <c r="BO591" s="46"/>
      <c r="BP591" s="46"/>
      <c r="BQ591" s="46"/>
      <c r="BR591" s="46"/>
      <c r="BS591" s="46"/>
      <c r="BT591" s="46"/>
      <c r="BU591" s="46"/>
      <c r="BV591" s="46"/>
      <c r="BW591" s="46"/>
      <c r="BX591" s="46"/>
      <c r="BY591" s="46"/>
      <c r="BZ591" s="46"/>
      <c r="CA591" s="46"/>
      <c r="CB591" s="46"/>
      <c r="CC591" s="46"/>
      <c r="CD591" s="46"/>
      <c r="CE591" s="46"/>
      <c r="CF591" s="46"/>
      <c r="CG591" s="46"/>
      <c r="CH591" s="46"/>
      <c r="CI591" s="46"/>
      <c r="CJ591" s="46"/>
      <c r="CK591" s="46"/>
      <c r="CL591" s="46"/>
      <c r="CM591" s="46"/>
      <c r="CN591" s="46"/>
    </row>
    <row r="592">
      <c r="A592" s="46"/>
      <c r="B592" s="46"/>
      <c r="C592" s="46"/>
      <c r="D592" s="46"/>
      <c r="E592" s="46"/>
      <c r="F592" s="46"/>
      <c r="G592" s="46"/>
      <c r="H592" s="46"/>
      <c r="I592" s="46"/>
      <c r="J592" s="46"/>
      <c r="K592" s="46"/>
      <c r="L592" s="51"/>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51"/>
      <c r="BB592" s="46"/>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46"/>
      <c r="BZ592" s="46"/>
      <c r="CA592" s="46"/>
      <c r="CB592" s="46"/>
      <c r="CC592" s="46"/>
      <c r="CD592" s="46"/>
      <c r="CE592" s="46"/>
      <c r="CF592" s="46"/>
      <c r="CG592" s="46"/>
      <c r="CH592" s="46"/>
      <c r="CI592" s="46"/>
      <c r="CJ592" s="46"/>
      <c r="CK592" s="46"/>
      <c r="CL592" s="46"/>
      <c r="CM592" s="46"/>
      <c r="CN592" s="46"/>
    </row>
    <row r="593">
      <c r="A593" s="46"/>
      <c r="B593" s="46"/>
      <c r="C593" s="46"/>
      <c r="D593" s="46"/>
      <c r="E593" s="46"/>
      <c r="F593" s="46"/>
      <c r="G593" s="46"/>
      <c r="H593" s="46"/>
      <c r="I593" s="46"/>
      <c r="J593" s="46"/>
      <c r="K593" s="46"/>
      <c r="L593" s="51"/>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51"/>
      <c r="BB593" s="46"/>
      <c r="BC593" s="46"/>
      <c r="BD593" s="46"/>
      <c r="BE593" s="46"/>
      <c r="BF593" s="46"/>
      <c r="BG593" s="46"/>
      <c r="BH593" s="46"/>
      <c r="BI593" s="46"/>
      <c r="BJ593" s="46"/>
      <c r="BK593" s="46"/>
      <c r="BL593" s="46"/>
      <c r="BM593" s="46"/>
      <c r="BN593" s="46"/>
      <c r="BO593" s="46"/>
      <c r="BP593" s="46"/>
      <c r="BQ593" s="46"/>
      <c r="BR593" s="46"/>
      <c r="BS593" s="46"/>
      <c r="BT593" s="46"/>
      <c r="BU593" s="46"/>
      <c r="BV593" s="46"/>
      <c r="BW593" s="46"/>
      <c r="BX593" s="46"/>
      <c r="BY593" s="46"/>
      <c r="BZ593" s="46"/>
      <c r="CA593" s="46"/>
      <c r="CB593" s="46"/>
      <c r="CC593" s="46"/>
      <c r="CD593" s="46"/>
      <c r="CE593" s="46"/>
      <c r="CF593" s="46"/>
      <c r="CG593" s="46"/>
      <c r="CH593" s="46"/>
      <c r="CI593" s="46"/>
      <c r="CJ593" s="46"/>
      <c r="CK593" s="46"/>
      <c r="CL593" s="46"/>
      <c r="CM593" s="46"/>
      <c r="CN593" s="46"/>
    </row>
    <row r="594">
      <c r="A594" s="46"/>
      <c r="B594" s="46"/>
      <c r="C594" s="46"/>
      <c r="D594" s="46"/>
      <c r="E594" s="46"/>
      <c r="F594" s="46"/>
      <c r="G594" s="46"/>
      <c r="H594" s="46"/>
      <c r="I594" s="46"/>
      <c r="J594" s="46"/>
      <c r="K594" s="46"/>
      <c r="L594" s="51"/>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51"/>
      <c r="BB594" s="46"/>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46"/>
      <c r="BZ594" s="46"/>
      <c r="CA594" s="46"/>
      <c r="CB594" s="46"/>
      <c r="CC594" s="46"/>
      <c r="CD594" s="46"/>
      <c r="CE594" s="46"/>
      <c r="CF594" s="46"/>
      <c r="CG594" s="46"/>
      <c r="CH594" s="46"/>
      <c r="CI594" s="46"/>
      <c r="CJ594" s="46"/>
      <c r="CK594" s="46"/>
      <c r="CL594" s="46"/>
      <c r="CM594" s="46"/>
      <c r="CN594" s="46"/>
    </row>
    <row r="595">
      <c r="A595" s="46"/>
      <c r="B595" s="46"/>
      <c r="C595" s="46"/>
      <c r="D595" s="46"/>
      <c r="E595" s="46"/>
      <c r="F595" s="46"/>
      <c r="G595" s="46"/>
      <c r="H595" s="46"/>
      <c r="I595" s="46"/>
      <c r="J595" s="46"/>
      <c r="K595" s="46"/>
      <c r="L595" s="51"/>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51"/>
      <c r="BB595" s="46"/>
      <c r="BC595" s="46"/>
      <c r="BD595" s="46"/>
      <c r="BE595" s="46"/>
      <c r="BF595" s="46"/>
      <c r="BG595" s="46"/>
      <c r="BH595" s="46"/>
      <c r="BI595" s="46"/>
      <c r="BJ595" s="46"/>
      <c r="BK595" s="46"/>
      <c r="BL595" s="46"/>
      <c r="BM595" s="46"/>
      <c r="BN595" s="46"/>
      <c r="BO595" s="46"/>
      <c r="BP595" s="46"/>
      <c r="BQ595" s="46"/>
      <c r="BR595" s="46"/>
      <c r="BS595" s="46"/>
      <c r="BT595" s="46"/>
      <c r="BU595" s="46"/>
      <c r="BV595" s="46"/>
      <c r="BW595" s="46"/>
      <c r="BX595" s="46"/>
      <c r="BY595" s="46"/>
      <c r="BZ595" s="46"/>
      <c r="CA595" s="46"/>
      <c r="CB595" s="46"/>
      <c r="CC595" s="46"/>
      <c r="CD595" s="46"/>
      <c r="CE595" s="46"/>
      <c r="CF595" s="46"/>
      <c r="CG595" s="46"/>
      <c r="CH595" s="46"/>
      <c r="CI595" s="46"/>
      <c r="CJ595" s="46"/>
      <c r="CK595" s="46"/>
      <c r="CL595" s="46"/>
      <c r="CM595" s="46"/>
      <c r="CN595" s="46"/>
    </row>
    <row r="596">
      <c r="A596" s="46"/>
      <c r="B596" s="46"/>
      <c r="C596" s="46"/>
      <c r="D596" s="46"/>
      <c r="E596" s="46"/>
      <c r="F596" s="46"/>
      <c r="G596" s="46"/>
      <c r="H596" s="46"/>
      <c r="I596" s="46"/>
      <c r="J596" s="46"/>
      <c r="K596" s="46"/>
      <c r="L596" s="51"/>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51"/>
      <c r="BB596" s="46"/>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46"/>
      <c r="BZ596" s="46"/>
      <c r="CA596" s="46"/>
      <c r="CB596" s="46"/>
      <c r="CC596" s="46"/>
      <c r="CD596" s="46"/>
      <c r="CE596" s="46"/>
      <c r="CF596" s="46"/>
      <c r="CG596" s="46"/>
      <c r="CH596" s="46"/>
      <c r="CI596" s="46"/>
      <c r="CJ596" s="46"/>
      <c r="CK596" s="46"/>
      <c r="CL596" s="46"/>
      <c r="CM596" s="46"/>
      <c r="CN596" s="46"/>
    </row>
    <row r="597">
      <c r="A597" s="46"/>
      <c r="B597" s="46"/>
      <c r="C597" s="46"/>
      <c r="D597" s="46"/>
      <c r="E597" s="46"/>
      <c r="F597" s="46"/>
      <c r="G597" s="46"/>
      <c r="H597" s="46"/>
      <c r="I597" s="46"/>
      <c r="J597" s="46"/>
      <c r="K597" s="46"/>
      <c r="L597" s="51"/>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51"/>
      <c r="BB597" s="46"/>
      <c r="BC597" s="46"/>
      <c r="BD597" s="46"/>
      <c r="BE597" s="46"/>
      <c r="BF597" s="46"/>
      <c r="BG597" s="46"/>
      <c r="BH597" s="46"/>
      <c r="BI597" s="46"/>
      <c r="BJ597" s="46"/>
      <c r="BK597" s="46"/>
      <c r="BL597" s="46"/>
      <c r="BM597" s="46"/>
      <c r="BN597" s="46"/>
      <c r="BO597" s="46"/>
      <c r="BP597" s="46"/>
      <c r="BQ597" s="46"/>
      <c r="BR597" s="46"/>
      <c r="BS597" s="46"/>
      <c r="BT597" s="46"/>
      <c r="BU597" s="46"/>
      <c r="BV597" s="46"/>
      <c r="BW597" s="46"/>
      <c r="BX597" s="46"/>
      <c r="BY597" s="46"/>
      <c r="BZ597" s="46"/>
      <c r="CA597" s="46"/>
      <c r="CB597" s="46"/>
      <c r="CC597" s="46"/>
      <c r="CD597" s="46"/>
      <c r="CE597" s="46"/>
      <c r="CF597" s="46"/>
      <c r="CG597" s="46"/>
      <c r="CH597" s="46"/>
      <c r="CI597" s="46"/>
      <c r="CJ597" s="46"/>
      <c r="CK597" s="46"/>
      <c r="CL597" s="46"/>
      <c r="CM597" s="46"/>
      <c r="CN597" s="46"/>
    </row>
    <row r="598">
      <c r="A598" s="46"/>
      <c r="B598" s="46"/>
      <c r="C598" s="46"/>
      <c r="D598" s="46"/>
      <c r="E598" s="46"/>
      <c r="F598" s="46"/>
      <c r="G598" s="46"/>
      <c r="H598" s="46"/>
      <c r="I598" s="46"/>
      <c r="J598" s="46"/>
      <c r="K598" s="46"/>
      <c r="L598" s="51"/>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51"/>
      <c r="BB598" s="46"/>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46"/>
      <c r="BZ598" s="46"/>
      <c r="CA598" s="46"/>
      <c r="CB598" s="46"/>
      <c r="CC598" s="46"/>
      <c r="CD598" s="46"/>
      <c r="CE598" s="46"/>
      <c r="CF598" s="46"/>
      <c r="CG598" s="46"/>
      <c r="CH598" s="46"/>
      <c r="CI598" s="46"/>
      <c r="CJ598" s="46"/>
      <c r="CK598" s="46"/>
      <c r="CL598" s="46"/>
      <c r="CM598" s="46"/>
      <c r="CN598" s="46"/>
    </row>
    <row r="599">
      <c r="A599" s="46"/>
      <c r="B599" s="46"/>
      <c r="C599" s="46"/>
      <c r="D599" s="46"/>
      <c r="E599" s="46"/>
      <c r="F599" s="46"/>
      <c r="G599" s="46"/>
      <c r="H599" s="46"/>
      <c r="I599" s="46"/>
      <c r="J599" s="46"/>
      <c r="K599" s="46"/>
      <c r="L599" s="51"/>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51"/>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6"/>
      <c r="CD599" s="46"/>
      <c r="CE599" s="46"/>
      <c r="CF599" s="46"/>
      <c r="CG599" s="46"/>
      <c r="CH599" s="46"/>
      <c r="CI599" s="46"/>
      <c r="CJ599" s="46"/>
      <c r="CK599" s="46"/>
      <c r="CL599" s="46"/>
      <c r="CM599" s="46"/>
      <c r="CN599" s="46"/>
    </row>
    <row r="600">
      <c r="A600" s="46"/>
      <c r="B600" s="46"/>
      <c r="C600" s="46"/>
      <c r="D600" s="46"/>
      <c r="E600" s="46"/>
      <c r="F600" s="46"/>
      <c r="G600" s="46"/>
      <c r="H600" s="46"/>
      <c r="I600" s="46"/>
      <c r="J600" s="46"/>
      <c r="K600" s="46"/>
      <c r="L600" s="51"/>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51"/>
      <c r="BB600" s="46"/>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46"/>
      <c r="BZ600" s="46"/>
      <c r="CA600" s="46"/>
      <c r="CB600" s="46"/>
      <c r="CC600" s="46"/>
      <c r="CD600" s="46"/>
      <c r="CE600" s="46"/>
      <c r="CF600" s="46"/>
      <c r="CG600" s="46"/>
      <c r="CH600" s="46"/>
      <c r="CI600" s="46"/>
      <c r="CJ600" s="46"/>
      <c r="CK600" s="46"/>
      <c r="CL600" s="46"/>
      <c r="CM600" s="46"/>
      <c r="CN600" s="46"/>
    </row>
    <row r="601">
      <c r="A601" s="46"/>
      <c r="B601" s="46"/>
      <c r="C601" s="46"/>
      <c r="D601" s="46"/>
      <c r="E601" s="46"/>
      <c r="F601" s="46"/>
      <c r="G601" s="46"/>
      <c r="H601" s="46"/>
      <c r="I601" s="46"/>
      <c r="J601" s="46"/>
      <c r="K601" s="46"/>
      <c r="L601" s="51"/>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51"/>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6"/>
      <c r="BY601" s="46"/>
      <c r="BZ601" s="46"/>
      <c r="CA601" s="46"/>
      <c r="CB601" s="46"/>
      <c r="CC601" s="46"/>
      <c r="CD601" s="46"/>
      <c r="CE601" s="46"/>
      <c r="CF601" s="46"/>
      <c r="CG601" s="46"/>
      <c r="CH601" s="46"/>
      <c r="CI601" s="46"/>
      <c r="CJ601" s="46"/>
      <c r="CK601" s="46"/>
      <c r="CL601" s="46"/>
      <c r="CM601" s="46"/>
      <c r="CN601" s="46"/>
    </row>
    <row r="602">
      <c r="A602" s="46"/>
      <c r="B602" s="46"/>
      <c r="C602" s="46"/>
      <c r="D602" s="46"/>
      <c r="E602" s="46"/>
      <c r="F602" s="46"/>
      <c r="G602" s="46"/>
      <c r="H602" s="46"/>
      <c r="I602" s="46"/>
      <c r="J602" s="46"/>
      <c r="K602" s="46"/>
      <c r="L602" s="51"/>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51"/>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46"/>
      <c r="BZ602" s="46"/>
      <c r="CA602" s="46"/>
      <c r="CB602" s="46"/>
      <c r="CC602" s="46"/>
      <c r="CD602" s="46"/>
      <c r="CE602" s="46"/>
      <c r="CF602" s="46"/>
      <c r="CG602" s="46"/>
      <c r="CH602" s="46"/>
      <c r="CI602" s="46"/>
      <c r="CJ602" s="46"/>
      <c r="CK602" s="46"/>
      <c r="CL602" s="46"/>
      <c r="CM602" s="46"/>
      <c r="CN602" s="46"/>
    </row>
    <row r="603">
      <c r="A603" s="46"/>
      <c r="B603" s="46"/>
      <c r="C603" s="46"/>
      <c r="D603" s="46"/>
      <c r="E603" s="46"/>
      <c r="F603" s="46"/>
      <c r="G603" s="46"/>
      <c r="H603" s="46"/>
      <c r="I603" s="46"/>
      <c r="J603" s="46"/>
      <c r="K603" s="46"/>
      <c r="L603" s="51"/>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51"/>
      <c r="BB603" s="46"/>
      <c r="BC603" s="46"/>
      <c r="BD603" s="46"/>
      <c r="BE603" s="46"/>
      <c r="BF603" s="46"/>
      <c r="BG603" s="46"/>
      <c r="BH603" s="46"/>
      <c r="BI603" s="46"/>
      <c r="BJ603" s="46"/>
      <c r="BK603" s="46"/>
      <c r="BL603" s="46"/>
      <c r="BM603" s="46"/>
      <c r="BN603" s="46"/>
      <c r="BO603" s="46"/>
      <c r="BP603" s="46"/>
      <c r="BQ603" s="46"/>
      <c r="BR603" s="46"/>
      <c r="BS603" s="46"/>
      <c r="BT603" s="46"/>
      <c r="BU603" s="46"/>
      <c r="BV603" s="46"/>
      <c r="BW603" s="46"/>
      <c r="BX603" s="46"/>
      <c r="BY603" s="46"/>
      <c r="BZ603" s="46"/>
      <c r="CA603" s="46"/>
      <c r="CB603" s="46"/>
      <c r="CC603" s="46"/>
      <c r="CD603" s="46"/>
      <c r="CE603" s="46"/>
      <c r="CF603" s="46"/>
      <c r="CG603" s="46"/>
      <c r="CH603" s="46"/>
      <c r="CI603" s="46"/>
      <c r="CJ603" s="46"/>
      <c r="CK603" s="46"/>
      <c r="CL603" s="46"/>
      <c r="CM603" s="46"/>
      <c r="CN603" s="46"/>
    </row>
    <row r="604">
      <c r="A604" s="46"/>
      <c r="B604" s="46"/>
      <c r="C604" s="46"/>
      <c r="D604" s="46"/>
      <c r="E604" s="46"/>
      <c r="F604" s="46"/>
      <c r="G604" s="46"/>
      <c r="H604" s="46"/>
      <c r="I604" s="46"/>
      <c r="J604" s="46"/>
      <c r="K604" s="46"/>
      <c r="L604" s="51"/>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51"/>
      <c r="BB604" s="46"/>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46"/>
      <c r="BZ604" s="46"/>
      <c r="CA604" s="46"/>
      <c r="CB604" s="46"/>
      <c r="CC604" s="46"/>
      <c r="CD604" s="46"/>
      <c r="CE604" s="46"/>
      <c r="CF604" s="46"/>
      <c r="CG604" s="46"/>
      <c r="CH604" s="46"/>
      <c r="CI604" s="46"/>
      <c r="CJ604" s="46"/>
      <c r="CK604" s="46"/>
      <c r="CL604" s="46"/>
      <c r="CM604" s="46"/>
      <c r="CN604" s="46"/>
    </row>
    <row r="605">
      <c r="A605" s="46"/>
      <c r="B605" s="46"/>
      <c r="C605" s="46"/>
      <c r="D605" s="46"/>
      <c r="E605" s="46"/>
      <c r="F605" s="46"/>
      <c r="G605" s="46"/>
      <c r="H605" s="46"/>
      <c r="I605" s="46"/>
      <c r="J605" s="46"/>
      <c r="K605" s="46"/>
      <c r="L605" s="51"/>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51"/>
      <c r="BB605" s="46"/>
      <c r="BC605" s="46"/>
      <c r="BD605" s="46"/>
      <c r="BE605" s="46"/>
      <c r="BF605" s="46"/>
      <c r="BG605" s="46"/>
      <c r="BH605" s="46"/>
      <c r="BI605" s="46"/>
      <c r="BJ605" s="46"/>
      <c r="BK605" s="46"/>
      <c r="BL605" s="46"/>
      <c r="BM605" s="46"/>
      <c r="BN605" s="46"/>
      <c r="BO605" s="46"/>
      <c r="BP605" s="46"/>
      <c r="BQ605" s="46"/>
      <c r="BR605" s="46"/>
      <c r="BS605" s="46"/>
      <c r="BT605" s="46"/>
      <c r="BU605" s="46"/>
      <c r="BV605" s="46"/>
      <c r="BW605" s="46"/>
      <c r="BX605" s="46"/>
      <c r="BY605" s="46"/>
      <c r="BZ605" s="46"/>
      <c r="CA605" s="46"/>
      <c r="CB605" s="46"/>
      <c r="CC605" s="46"/>
      <c r="CD605" s="46"/>
      <c r="CE605" s="46"/>
      <c r="CF605" s="46"/>
      <c r="CG605" s="46"/>
      <c r="CH605" s="46"/>
      <c r="CI605" s="46"/>
      <c r="CJ605" s="46"/>
      <c r="CK605" s="46"/>
      <c r="CL605" s="46"/>
      <c r="CM605" s="46"/>
      <c r="CN605" s="46"/>
    </row>
    <row r="606">
      <c r="A606" s="46"/>
      <c r="B606" s="46"/>
      <c r="C606" s="46"/>
      <c r="D606" s="46"/>
      <c r="E606" s="46"/>
      <c r="F606" s="46"/>
      <c r="G606" s="46"/>
      <c r="H606" s="46"/>
      <c r="I606" s="46"/>
      <c r="J606" s="46"/>
      <c r="K606" s="46"/>
      <c r="L606" s="51"/>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51"/>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46"/>
      <c r="BZ606" s="46"/>
      <c r="CA606" s="46"/>
      <c r="CB606" s="46"/>
      <c r="CC606" s="46"/>
      <c r="CD606" s="46"/>
      <c r="CE606" s="46"/>
      <c r="CF606" s="46"/>
      <c r="CG606" s="46"/>
      <c r="CH606" s="46"/>
      <c r="CI606" s="46"/>
      <c r="CJ606" s="46"/>
      <c r="CK606" s="46"/>
      <c r="CL606" s="46"/>
      <c r="CM606" s="46"/>
      <c r="CN606" s="46"/>
    </row>
    <row r="607">
      <c r="A607" s="46"/>
      <c r="B607" s="46"/>
      <c r="C607" s="46"/>
      <c r="D607" s="46"/>
      <c r="E607" s="46"/>
      <c r="F607" s="46"/>
      <c r="G607" s="46"/>
      <c r="H607" s="46"/>
      <c r="I607" s="46"/>
      <c r="J607" s="46"/>
      <c r="K607" s="46"/>
      <c r="L607" s="51"/>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51"/>
      <c r="BB607" s="46"/>
      <c r="BC607" s="46"/>
      <c r="BD607" s="46"/>
      <c r="BE607" s="46"/>
      <c r="BF607" s="46"/>
      <c r="BG607" s="46"/>
      <c r="BH607" s="46"/>
      <c r="BI607" s="46"/>
      <c r="BJ607" s="46"/>
      <c r="BK607" s="46"/>
      <c r="BL607" s="46"/>
      <c r="BM607" s="46"/>
      <c r="BN607" s="46"/>
      <c r="BO607" s="46"/>
      <c r="BP607" s="46"/>
      <c r="BQ607" s="46"/>
      <c r="BR607" s="46"/>
      <c r="BS607" s="46"/>
      <c r="BT607" s="46"/>
      <c r="BU607" s="46"/>
      <c r="BV607" s="46"/>
      <c r="BW607" s="46"/>
      <c r="BX607" s="46"/>
      <c r="BY607" s="46"/>
      <c r="BZ607" s="46"/>
      <c r="CA607" s="46"/>
      <c r="CB607" s="46"/>
      <c r="CC607" s="46"/>
      <c r="CD607" s="46"/>
      <c r="CE607" s="46"/>
      <c r="CF607" s="46"/>
      <c r="CG607" s="46"/>
      <c r="CH607" s="46"/>
      <c r="CI607" s="46"/>
      <c r="CJ607" s="46"/>
      <c r="CK607" s="46"/>
      <c r="CL607" s="46"/>
      <c r="CM607" s="46"/>
      <c r="CN607" s="46"/>
    </row>
    <row r="608">
      <c r="A608" s="46"/>
      <c r="B608" s="46"/>
      <c r="C608" s="46"/>
      <c r="D608" s="46"/>
      <c r="E608" s="46"/>
      <c r="F608" s="46"/>
      <c r="G608" s="46"/>
      <c r="H608" s="46"/>
      <c r="I608" s="46"/>
      <c r="J608" s="46"/>
      <c r="K608" s="46"/>
      <c r="L608" s="51"/>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51"/>
      <c r="BB608" s="46"/>
      <c r="BC608" s="46"/>
      <c r="BD608" s="46"/>
      <c r="BE608" s="46"/>
      <c r="BF608" s="46"/>
      <c r="BG608" s="46"/>
      <c r="BH608" s="46"/>
      <c r="BI608" s="46"/>
      <c r="BJ608" s="46"/>
      <c r="BK608" s="46"/>
      <c r="BL608" s="46"/>
      <c r="BM608" s="46"/>
      <c r="BN608" s="46"/>
      <c r="BO608" s="46"/>
      <c r="BP608" s="46"/>
      <c r="BQ608" s="46"/>
      <c r="BR608" s="46"/>
      <c r="BS608" s="46"/>
      <c r="BT608" s="46"/>
      <c r="BU608" s="46"/>
      <c r="BV608" s="46"/>
      <c r="BW608" s="46"/>
      <c r="BX608" s="46"/>
      <c r="BY608" s="46"/>
      <c r="BZ608" s="46"/>
      <c r="CA608" s="46"/>
      <c r="CB608" s="46"/>
      <c r="CC608" s="46"/>
      <c r="CD608" s="46"/>
      <c r="CE608" s="46"/>
      <c r="CF608" s="46"/>
      <c r="CG608" s="46"/>
      <c r="CH608" s="46"/>
      <c r="CI608" s="46"/>
      <c r="CJ608" s="46"/>
      <c r="CK608" s="46"/>
      <c r="CL608" s="46"/>
      <c r="CM608" s="46"/>
      <c r="CN608" s="46"/>
    </row>
    <row r="609">
      <c r="A609" s="46"/>
      <c r="B609" s="46"/>
      <c r="C609" s="46"/>
      <c r="D609" s="46"/>
      <c r="E609" s="46"/>
      <c r="F609" s="46"/>
      <c r="G609" s="46"/>
      <c r="H609" s="46"/>
      <c r="I609" s="46"/>
      <c r="J609" s="46"/>
      <c r="K609" s="46"/>
      <c r="L609" s="51"/>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51"/>
      <c r="BB609" s="46"/>
      <c r="BC609" s="46"/>
      <c r="BD609" s="46"/>
      <c r="BE609" s="46"/>
      <c r="BF609" s="46"/>
      <c r="BG609" s="46"/>
      <c r="BH609" s="46"/>
      <c r="BI609" s="46"/>
      <c r="BJ609" s="46"/>
      <c r="BK609" s="46"/>
      <c r="BL609" s="46"/>
      <c r="BM609" s="46"/>
      <c r="BN609" s="46"/>
      <c r="BO609" s="46"/>
      <c r="BP609" s="46"/>
      <c r="BQ609" s="46"/>
      <c r="BR609" s="46"/>
      <c r="BS609" s="46"/>
      <c r="BT609" s="46"/>
      <c r="BU609" s="46"/>
      <c r="BV609" s="46"/>
      <c r="BW609" s="46"/>
      <c r="BX609" s="46"/>
      <c r="BY609" s="46"/>
      <c r="BZ609" s="46"/>
      <c r="CA609" s="46"/>
      <c r="CB609" s="46"/>
      <c r="CC609" s="46"/>
      <c r="CD609" s="46"/>
      <c r="CE609" s="46"/>
      <c r="CF609" s="46"/>
      <c r="CG609" s="46"/>
      <c r="CH609" s="46"/>
      <c r="CI609" s="46"/>
      <c r="CJ609" s="46"/>
      <c r="CK609" s="46"/>
      <c r="CL609" s="46"/>
      <c r="CM609" s="46"/>
      <c r="CN609" s="46"/>
    </row>
    <row r="610">
      <c r="A610" s="46"/>
      <c r="B610" s="46"/>
      <c r="C610" s="46"/>
      <c r="D610" s="46"/>
      <c r="E610" s="46"/>
      <c r="F610" s="46"/>
      <c r="G610" s="46"/>
      <c r="H610" s="46"/>
      <c r="I610" s="46"/>
      <c r="J610" s="46"/>
      <c r="K610" s="46"/>
      <c r="L610" s="51"/>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51"/>
      <c r="BB610" s="46"/>
      <c r="BC610" s="46"/>
      <c r="BD610" s="46"/>
      <c r="BE610" s="46"/>
      <c r="BF610" s="46"/>
      <c r="BG610" s="46"/>
      <c r="BH610" s="46"/>
      <c r="BI610" s="46"/>
      <c r="BJ610" s="46"/>
      <c r="BK610" s="46"/>
      <c r="BL610" s="46"/>
      <c r="BM610" s="46"/>
      <c r="BN610" s="46"/>
      <c r="BO610" s="46"/>
      <c r="BP610" s="46"/>
      <c r="BQ610" s="46"/>
      <c r="BR610" s="46"/>
      <c r="BS610" s="46"/>
      <c r="BT610" s="46"/>
      <c r="BU610" s="46"/>
      <c r="BV610" s="46"/>
      <c r="BW610" s="46"/>
      <c r="BX610" s="46"/>
      <c r="BY610" s="46"/>
      <c r="BZ610" s="46"/>
      <c r="CA610" s="46"/>
      <c r="CB610" s="46"/>
      <c r="CC610" s="46"/>
      <c r="CD610" s="46"/>
      <c r="CE610" s="46"/>
      <c r="CF610" s="46"/>
      <c r="CG610" s="46"/>
      <c r="CH610" s="46"/>
      <c r="CI610" s="46"/>
      <c r="CJ610" s="46"/>
      <c r="CK610" s="46"/>
      <c r="CL610" s="46"/>
      <c r="CM610" s="46"/>
      <c r="CN610" s="46"/>
    </row>
    <row r="611">
      <c r="A611" s="46"/>
      <c r="B611" s="46"/>
      <c r="C611" s="46"/>
      <c r="D611" s="46"/>
      <c r="E611" s="46"/>
      <c r="F611" s="46"/>
      <c r="G611" s="46"/>
      <c r="H611" s="46"/>
      <c r="I611" s="46"/>
      <c r="J611" s="46"/>
      <c r="K611" s="46"/>
      <c r="L611" s="51"/>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51"/>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c r="CD611" s="46"/>
      <c r="CE611" s="46"/>
      <c r="CF611" s="46"/>
      <c r="CG611" s="46"/>
      <c r="CH611" s="46"/>
      <c r="CI611" s="46"/>
      <c r="CJ611" s="46"/>
      <c r="CK611" s="46"/>
      <c r="CL611" s="46"/>
      <c r="CM611" s="46"/>
      <c r="CN611" s="46"/>
    </row>
    <row r="612">
      <c r="A612" s="46"/>
      <c r="B612" s="46"/>
      <c r="C612" s="46"/>
      <c r="D612" s="46"/>
      <c r="E612" s="46"/>
      <c r="F612" s="46"/>
      <c r="G612" s="46"/>
      <c r="H612" s="46"/>
      <c r="I612" s="46"/>
      <c r="J612" s="46"/>
      <c r="K612" s="46"/>
      <c r="L612" s="51"/>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51"/>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row>
    <row r="613">
      <c r="A613" s="46"/>
      <c r="B613" s="46"/>
      <c r="C613" s="46"/>
      <c r="D613" s="46"/>
      <c r="E613" s="46"/>
      <c r="F613" s="46"/>
      <c r="G613" s="46"/>
      <c r="H613" s="46"/>
      <c r="I613" s="46"/>
      <c r="J613" s="46"/>
      <c r="K613" s="46"/>
      <c r="L613" s="51"/>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51"/>
      <c r="BB613" s="46"/>
      <c r="BC613" s="46"/>
      <c r="BD613" s="46"/>
      <c r="BE613" s="46"/>
      <c r="BF613" s="46"/>
      <c r="BG613" s="46"/>
      <c r="BH613" s="46"/>
      <c r="BI613" s="46"/>
      <c r="BJ613" s="46"/>
      <c r="BK613" s="46"/>
      <c r="BL613" s="46"/>
      <c r="BM613" s="46"/>
      <c r="BN613" s="46"/>
      <c r="BO613" s="46"/>
      <c r="BP613" s="46"/>
      <c r="BQ613" s="46"/>
      <c r="BR613" s="46"/>
      <c r="BS613" s="46"/>
      <c r="BT613" s="46"/>
      <c r="BU613" s="46"/>
      <c r="BV613" s="46"/>
      <c r="BW613" s="46"/>
      <c r="BX613" s="46"/>
      <c r="BY613" s="46"/>
      <c r="BZ613" s="46"/>
      <c r="CA613" s="46"/>
      <c r="CB613" s="46"/>
      <c r="CC613" s="46"/>
      <c r="CD613" s="46"/>
      <c r="CE613" s="46"/>
      <c r="CF613" s="46"/>
      <c r="CG613" s="46"/>
      <c r="CH613" s="46"/>
      <c r="CI613" s="46"/>
      <c r="CJ613" s="46"/>
      <c r="CK613" s="46"/>
      <c r="CL613" s="46"/>
      <c r="CM613" s="46"/>
      <c r="CN613" s="46"/>
    </row>
    <row r="614">
      <c r="A614" s="46"/>
      <c r="B614" s="46"/>
      <c r="C614" s="46"/>
      <c r="D614" s="46"/>
      <c r="E614" s="46"/>
      <c r="F614" s="46"/>
      <c r="G614" s="46"/>
      <c r="H614" s="46"/>
      <c r="I614" s="46"/>
      <c r="J614" s="46"/>
      <c r="K614" s="46"/>
      <c r="L614" s="51"/>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51"/>
      <c r="BB614" s="46"/>
      <c r="BC614" s="46"/>
      <c r="BD614" s="46"/>
      <c r="BE614" s="46"/>
      <c r="BF614" s="46"/>
      <c r="BG614" s="46"/>
      <c r="BH614" s="46"/>
      <c r="BI614" s="46"/>
      <c r="BJ614" s="46"/>
      <c r="BK614" s="46"/>
      <c r="BL614" s="46"/>
      <c r="BM614" s="46"/>
      <c r="BN614" s="46"/>
      <c r="BO614" s="46"/>
      <c r="BP614" s="46"/>
      <c r="BQ614" s="46"/>
      <c r="BR614" s="46"/>
      <c r="BS614" s="46"/>
      <c r="BT614" s="46"/>
      <c r="BU614" s="46"/>
      <c r="BV614" s="46"/>
      <c r="BW614" s="46"/>
      <c r="BX614" s="46"/>
      <c r="BY614" s="46"/>
      <c r="BZ614" s="46"/>
      <c r="CA614" s="46"/>
      <c r="CB614" s="46"/>
      <c r="CC614" s="46"/>
      <c r="CD614" s="46"/>
      <c r="CE614" s="46"/>
      <c r="CF614" s="46"/>
      <c r="CG614" s="46"/>
      <c r="CH614" s="46"/>
      <c r="CI614" s="46"/>
      <c r="CJ614" s="46"/>
      <c r="CK614" s="46"/>
      <c r="CL614" s="46"/>
      <c r="CM614" s="46"/>
      <c r="CN614" s="46"/>
    </row>
    <row r="615">
      <c r="A615" s="46"/>
      <c r="B615" s="46"/>
      <c r="C615" s="46"/>
      <c r="D615" s="46"/>
      <c r="E615" s="46"/>
      <c r="F615" s="46"/>
      <c r="G615" s="46"/>
      <c r="H615" s="46"/>
      <c r="I615" s="46"/>
      <c r="J615" s="46"/>
      <c r="K615" s="46"/>
      <c r="L615" s="51"/>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51"/>
      <c r="BB615" s="46"/>
      <c r="BC615" s="46"/>
      <c r="BD615" s="46"/>
      <c r="BE615" s="46"/>
      <c r="BF615" s="46"/>
      <c r="BG615" s="46"/>
      <c r="BH615" s="46"/>
      <c r="BI615" s="46"/>
      <c r="BJ615" s="46"/>
      <c r="BK615" s="46"/>
      <c r="BL615" s="46"/>
      <c r="BM615" s="46"/>
      <c r="BN615" s="46"/>
      <c r="BO615" s="46"/>
      <c r="BP615" s="46"/>
      <c r="BQ615" s="46"/>
      <c r="BR615" s="46"/>
      <c r="BS615" s="46"/>
      <c r="BT615" s="46"/>
      <c r="BU615" s="46"/>
      <c r="BV615" s="46"/>
      <c r="BW615" s="46"/>
      <c r="BX615" s="46"/>
      <c r="BY615" s="46"/>
      <c r="BZ615" s="46"/>
      <c r="CA615" s="46"/>
      <c r="CB615" s="46"/>
      <c r="CC615" s="46"/>
      <c r="CD615" s="46"/>
      <c r="CE615" s="46"/>
      <c r="CF615" s="46"/>
      <c r="CG615" s="46"/>
      <c r="CH615" s="46"/>
      <c r="CI615" s="46"/>
      <c r="CJ615" s="46"/>
      <c r="CK615" s="46"/>
      <c r="CL615" s="46"/>
      <c r="CM615" s="46"/>
      <c r="CN615" s="46"/>
    </row>
    <row r="616">
      <c r="A616" s="46"/>
      <c r="B616" s="46"/>
      <c r="C616" s="46"/>
      <c r="D616" s="46"/>
      <c r="E616" s="46"/>
      <c r="F616" s="46"/>
      <c r="G616" s="46"/>
      <c r="H616" s="46"/>
      <c r="I616" s="46"/>
      <c r="J616" s="46"/>
      <c r="K616" s="46"/>
      <c r="L616" s="51"/>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51"/>
      <c r="BB616" s="46"/>
      <c r="BC616" s="46"/>
      <c r="BD616" s="46"/>
      <c r="BE616" s="46"/>
      <c r="BF616" s="46"/>
      <c r="BG616" s="46"/>
      <c r="BH616" s="46"/>
      <c r="BI616" s="46"/>
      <c r="BJ616" s="46"/>
      <c r="BK616" s="46"/>
      <c r="BL616" s="46"/>
      <c r="BM616" s="46"/>
      <c r="BN616" s="46"/>
      <c r="BO616" s="46"/>
      <c r="BP616" s="46"/>
      <c r="BQ616" s="46"/>
      <c r="BR616" s="46"/>
      <c r="BS616" s="46"/>
      <c r="BT616" s="46"/>
      <c r="BU616" s="46"/>
      <c r="BV616" s="46"/>
      <c r="BW616" s="46"/>
      <c r="BX616" s="46"/>
      <c r="BY616" s="46"/>
      <c r="BZ616" s="46"/>
      <c r="CA616" s="46"/>
      <c r="CB616" s="46"/>
      <c r="CC616" s="46"/>
      <c r="CD616" s="46"/>
      <c r="CE616" s="46"/>
      <c r="CF616" s="46"/>
      <c r="CG616" s="46"/>
      <c r="CH616" s="46"/>
      <c r="CI616" s="46"/>
      <c r="CJ616" s="46"/>
      <c r="CK616" s="46"/>
      <c r="CL616" s="46"/>
      <c r="CM616" s="46"/>
      <c r="CN616" s="46"/>
    </row>
    <row r="617">
      <c r="A617" s="46"/>
      <c r="B617" s="46"/>
      <c r="C617" s="46"/>
      <c r="D617" s="46"/>
      <c r="E617" s="46"/>
      <c r="F617" s="46"/>
      <c r="G617" s="46"/>
      <c r="H617" s="46"/>
      <c r="I617" s="46"/>
      <c r="J617" s="46"/>
      <c r="K617" s="46"/>
      <c r="L617" s="51"/>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51"/>
      <c r="BB617" s="46"/>
      <c r="BC617" s="46"/>
      <c r="BD617" s="46"/>
      <c r="BE617" s="46"/>
      <c r="BF617" s="46"/>
      <c r="BG617" s="46"/>
      <c r="BH617" s="46"/>
      <c r="BI617" s="46"/>
      <c r="BJ617" s="46"/>
      <c r="BK617" s="46"/>
      <c r="BL617" s="46"/>
      <c r="BM617" s="46"/>
      <c r="BN617" s="46"/>
      <c r="BO617" s="46"/>
      <c r="BP617" s="46"/>
      <c r="BQ617" s="46"/>
      <c r="BR617" s="46"/>
      <c r="BS617" s="46"/>
      <c r="BT617" s="46"/>
      <c r="BU617" s="46"/>
      <c r="BV617" s="46"/>
      <c r="BW617" s="46"/>
      <c r="BX617" s="46"/>
      <c r="BY617" s="46"/>
      <c r="BZ617" s="46"/>
      <c r="CA617" s="46"/>
      <c r="CB617" s="46"/>
      <c r="CC617" s="46"/>
      <c r="CD617" s="46"/>
      <c r="CE617" s="46"/>
      <c r="CF617" s="46"/>
      <c r="CG617" s="46"/>
      <c r="CH617" s="46"/>
      <c r="CI617" s="46"/>
      <c r="CJ617" s="46"/>
      <c r="CK617" s="46"/>
      <c r="CL617" s="46"/>
      <c r="CM617" s="46"/>
      <c r="CN617" s="46"/>
    </row>
    <row r="618">
      <c r="A618" s="46"/>
      <c r="B618" s="46"/>
      <c r="C618" s="46"/>
      <c r="D618" s="46"/>
      <c r="E618" s="46"/>
      <c r="F618" s="46"/>
      <c r="G618" s="46"/>
      <c r="H618" s="46"/>
      <c r="I618" s="46"/>
      <c r="J618" s="46"/>
      <c r="K618" s="46"/>
      <c r="L618" s="51"/>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51"/>
      <c r="BB618" s="46"/>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6"/>
      <c r="BY618" s="46"/>
      <c r="BZ618" s="46"/>
      <c r="CA618" s="46"/>
      <c r="CB618" s="46"/>
      <c r="CC618" s="46"/>
      <c r="CD618" s="46"/>
      <c r="CE618" s="46"/>
      <c r="CF618" s="46"/>
      <c r="CG618" s="46"/>
      <c r="CH618" s="46"/>
      <c r="CI618" s="46"/>
      <c r="CJ618" s="46"/>
      <c r="CK618" s="46"/>
      <c r="CL618" s="46"/>
      <c r="CM618" s="46"/>
      <c r="CN618" s="46"/>
    </row>
    <row r="619">
      <c r="A619" s="46"/>
      <c r="B619" s="46"/>
      <c r="C619" s="46"/>
      <c r="D619" s="46"/>
      <c r="E619" s="46"/>
      <c r="F619" s="46"/>
      <c r="G619" s="46"/>
      <c r="H619" s="46"/>
      <c r="I619" s="46"/>
      <c r="J619" s="46"/>
      <c r="K619" s="46"/>
      <c r="L619" s="51"/>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51"/>
      <c r="BB619" s="46"/>
      <c r="BC619" s="46"/>
      <c r="BD619" s="46"/>
      <c r="BE619" s="46"/>
      <c r="BF619" s="46"/>
      <c r="BG619" s="46"/>
      <c r="BH619" s="46"/>
      <c r="BI619" s="46"/>
      <c r="BJ619" s="46"/>
      <c r="BK619" s="46"/>
      <c r="BL619" s="46"/>
      <c r="BM619" s="46"/>
      <c r="BN619" s="46"/>
      <c r="BO619" s="46"/>
      <c r="BP619" s="46"/>
      <c r="BQ619" s="46"/>
      <c r="BR619" s="46"/>
      <c r="BS619" s="46"/>
      <c r="BT619" s="46"/>
      <c r="BU619" s="46"/>
      <c r="BV619" s="46"/>
      <c r="BW619" s="46"/>
      <c r="BX619" s="46"/>
      <c r="BY619" s="46"/>
      <c r="BZ619" s="46"/>
      <c r="CA619" s="46"/>
      <c r="CB619" s="46"/>
      <c r="CC619" s="46"/>
      <c r="CD619" s="46"/>
      <c r="CE619" s="46"/>
      <c r="CF619" s="46"/>
      <c r="CG619" s="46"/>
      <c r="CH619" s="46"/>
      <c r="CI619" s="46"/>
      <c r="CJ619" s="46"/>
      <c r="CK619" s="46"/>
      <c r="CL619" s="46"/>
      <c r="CM619" s="46"/>
      <c r="CN619" s="46"/>
    </row>
    <row r="620">
      <c r="A620" s="46"/>
      <c r="B620" s="46"/>
      <c r="C620" s="46"/>
      <c r="D620" s="46"/>
      <c r="E620" s="46"/>
      <c r="F620" s="46"/>
      <c r="G620" s="46"/>
      <c r="H620" s="46"/>
      <c r="I620" s="46"/>
      <c r="J620" s="46"/>
      <c r="K620" s="46"/>
      <c r="L620" s="51"/>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51"/>
      <c r="BB620" s="46"/>
      <c r="BC620" s="46"/>
      <c r="BD620" s="46"/>
      <c r="BE620" s="46"/>
      <c r="BF620" s="46"/>
      <c r="BG620" s="46"/>
      <c r="BH620" s="46"/>
      <c r="BI620" s="46"/>
      <c r="BJ620" s="46"/>
      <c r="BK620" s="46"/>
      <c r="BL620" s="46"/>
      <c r="BM620" s="46"/>
      <c r="BN620" s="46"/>
      <c r="BO620" s="46"/>
      <c r="BP620" s="46"/>
      <c r="BQ620" s="46"/>
      <c r="BR620" s="46"/>
      <c r="BS620" s="46"/>
      <c r="BT620" s="46"/>
      <c r="BU620" s="46"/>
      <c r="BV620" s="46"/>
      <c r="BW620" s="46"/>
      <c r="BX620" s="46"/>
      <c r="BY620" s="46"/>
      <c r="BZ620" s="46"/>
      <c r="CA620" s="46"/>
      <c r="CB620" s="46"/>
      <c r="CC620" s="46"/>
      <c r="CD620" s="46"/>
      <c r="CE620" s="46"/>
      <c r="CF620" s="46"/>
      <c r="CG620" s="46"/>
      <c r="CH620" s="46"/>
      <c r="CI620" s="46"/>
      <c r="CJ620" s="46"/>
      <c r="CK620" s="46"/>
      <c r="CL620" s="46"/>
      <c r="CM620" s="46"/>
      <c r="CN620" s="46"/>
    </row>
    <row r="621">
      <c r="A621" s="46"/>
      <c r="B621" s="46"/>
      <c r="C621" s="46"/>
      <c r="D621" s="46"/>
      <c r="E621" s="46"/>
      <c r="F621" s="46"/>
      <c r="G621" s="46"/>
      <c r="H621" s="46"/>
      <c r="I621" s="46"/>
      <c r="J621" s="46"/>
      <c r="K621" s="46"/>
      <c r="L621" s="51"/>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51"/>
      <c r="BB621" s="46"/>
      <c r="BC621" s="46"/>
      <c r="BD621" s="46"/>
      <c r="BE621" s="46"/>
      <c r="BF621" s="46"/>
      <c r="BG621" s="46"/>
      <c r="BH621" s="46"/>
      <c r="BI621" s="46"/>
      <c r="BJ621" s="46"/>
      <c r="BK621" s="46"/>
      <c r="BL621" s="46"/>
      <c r="BM621" s="46"/>
      <c r="BN621" s="46"/>
      <c r="BO621" s="46"/>
      <c r="BP621" s="46"/>
      <c r="BQ621" s="46"/>
      <c r="BR621" s="46"/>
      <c r="BS621" s="46"/>
      <c r="BT621" s="46"/>
      <c r="BU621" s="46"/>
      <c r="BV621" s="46"/>
      <c r="BW621" s="46"/>
      <c r="BX621" s="46"/>
      <c r="BY621" s="46"/>
      <c r="BZ621" s="46"/>
      <c r="CA621" s="46"/>
      <c r="CB621" s="46"/>
      <c r="CC621" s="46"/>
      <c r="CD621" s="46"/>
      <c r="CE621" s="46"/>
      <c r="CF621" s="46"/>
      <c r="CG621" s="46"/>
      <c r="CH621" s="46"/>
      <c r="CI621" s="46"/>
      <c r="CJ621" s="46"/>
      <c r="CK621" s="46"/>
      <c r="CL621" s="46"/>
      <c r="CM621" s="46"/>
      <c r="CN621" s="46"/>
    </row>
    <row r="622">
      <c r="A622" s="46"/>
      <c r="B622" s="46"/>
      <c r="C622" s="46"/>
      <c r="D622" s="46"/>
      <c r="E622" s="46"/>
      <c r="F622" s="46"/>
      <c r="G622" s="46"/>
      <c r="H622" s="46"/>
      <c r="I622" s="46"/>
      <c r="J622" s="46"/>
      <c r="K622" s="46"/>
      <c r="L622" s="51"/>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51"/>
      <c r="BB622" s="46"/>
      <c r="BC622" s="46"/>
      <c r="BD622" s="46"/>
      <c r="BE622" s="46"/>
      <c r="BF622" s="46"/>
      <c r="BG622" s="46"/>
      <c r="BH622" s="46"/>
      <c r="BI622" s="46"/>
      <c r="BJ622" s="46"/>
      <c r="BK622" s="46"/>
      <c r="BL622" s="46"/>
      <c r="BM622" s="46"/>
      <c r="BN622" s="46"/>
      <c r="BO622" s="46"/>
      <c r="BP622" s="46"/>
      <c r="BQ622" s="46"/>
      <c r="BR622" s="46"/>
      <c r="BS622" s="46"/>
      <c r="BT622" s="46"/>
      <c r="BU622" s="46"/>
      <c r="BV622" s="46"/>
      <c r="BW622" s="46"/>
      <c r="BX622" s="46"/>
      <c r="BY622" s="46"/>
      <c r="BZ622" s="46"/>
      <c r="CA622" s="46"/>
      <c r="CB622" s="46"/>
      <c r="CC622" s="46"/>
      <c r="CD622" s="46"/>
      <c r="CE622" s="46"/>
      <c r="CF622" s="46"/>
      <c r="CG622" s="46"/>
      <c r="CH622" s="46"/>
      <c r="CI622" s="46"/>
      <c r="CJ622" s="46"/>
      <c r="CK622" s="46"/>
      <c r="CL622" s="46"/>
      <c r="CM622" s="46"/>
      <c r="CN622" s="46"/>
    </row>
    <row r="623">
      <c r="A623" s="46"/>
      <c r="B623" s="46"/>
      <c r="C623" s="46"/>
      <c r="D623" s="46"/>
      <c r="E623" s="46"/>
      <c r="F623" s="46"/>
      <c r="G623" s="46"/>
      <c r="H623" s="46"/>
      <c r="I623" s="46"/>
      <c r="J623" s="46"/>
      <c r="K623" s="46"/>
      <c r="L623" s="51"/>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51"/>
      <c r="BB623" s="46"/>
      <c r="BC623" s="46"/>
      <c r="BD623" s="46"/>
      <c r="BE623" s="46"/>
      <c r="BF623" s="46"/>
      <c r="BG623" s="46"/>
      <c r="BH623" s="46"/>
      <c r="BI623" s="46"/>
      <c r="BJ623" s="46"/>
      <c r="BK623" s="46"/>
      <c r="BL623" s="46"/>
      <c r="BM623" s="46"/>
      <c r="BN623" s="46"/>
      <c r="BO623" s="46"/>
      <c r="BP623" s="46"/>
      <c r="BQ623" s="46"/>
      <c r="BR623" s="46"/>
      <c r="BS623" s="46"/>
      <c r="BT623" s="46"/>
      <c r="BU623" s="46"/>
      <c r="BV623" s="46"/>
      <c r="BW623" s="46"/>
      <c r="BX623" s="46"/>
      <c r="BY623" s="46"/>
      <c r="BZ623" s="46"/>
      <c r="CA623" s="46"/>
      <c r="CB623" s="46"/>
      <c r="CC623" s="46"/>
      <c r="CD623" s="46"/>
      <c r="CE623" s="46"/>
      <c r="CF623" s="46"/>
      <c r="CG623" s="46"/>
      <c r="CH623" s="46"/>
      <c r="CI623" s="46"/>
      <c r="CJ623" s="46"/>
      <c r="CK623" s="46"/>
      <c r="CL623" s="46"/>
      <c r="CM623" s="46"/>
      <c r="CN623" s="46"/>
    </row>
    <row r="624">
      <c r="A624" s="46"/>
      <c r="B624" s="46"/>
      <c r="C624" s="46"/>
      <c r="D624" s="46"/>
      <c r="E624" s="46"/>
      <c r="F624" s="46"/>
      <c r="G624" s="46"/>
      <c r="H624" s="46"/>
      <c r="I624" s="46"/>
      <c r="J624" s="46"/>
      <c r="K624" s="46"/>
      <c r="L624" s="51"/>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51"/>
      <c r="BB624" s="46"/>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6"/>
      <c r="BY624" s="46"/>
      <c r="BZ624" s="46"/>
      <c r="CA624" s="46"/>
      <c r="CB624" s="46"/>
      <c r="CC624" s="46"/>
      <c r="CD624" s="46"/>
      <c r="CE624" s="46"/>
      <c r="CF624" s="46"/>
      <c r="CG624" s="46"/>
      <c r="CH624" s="46"/>
      <c r="CI624" s="46"/>
      <c r="CJ624" s="46"/>
      <c r="CK624" s="46"/>
      <c r="CL624" s="46"/>
      <c r="CM624" s="46"/>
      <c r="CN624" s="46"/>
    </row>
    <row r="625">
      <c r="A625" s="46"/>
      <c r="B625" s="46"/>
      <c r="C625" s="46"/>
      <c r="D625" s="46"/>
      <c r="E625" s="46"/>
      <c r="F625" s="46"/>
      <c r="G625" s="46"/>
      <c r="H625" s="46"/>
      <c r="I625" s="46"/>
      <c r="J625" s="46"/>
      <c r="K625" s="46"/>
      <c r="L625" s="51"/>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51"/>
      <c r="BB625" s="46"/>
      <c r="BC625" s="46"/>
      <c r="BD625" s="46"/>
      <c r="BE625" s="46"/>
      <c r="BF625" s="46"/>
      <c r="BG625" s="46"/>
      <c r="BH625" s="46"/>
      <c r="BI625" s="46"/>
      <c r="BJ625" s="46"/>
      <c r="BK625" s="46"/>
      <c r="BL625" s="46"/>
      <c r="BM625" s="46"/>
      <c r="BN625" s="46"/>
      <c r="BO625" s="46"/>
      <c r="BP625" s="46"/>
      <c r="BQ625" s="46"/>
      <c r="BR625" s="46"/>
      <c r="BS625" s="46"/>
      <c r="BT625" s="46"/>
      <c r="BU625" s="46"/>
      <c r="BV625" s="46"/>
      <c r="BW625" s="46"/>
      <c r="BX625" s="46"/>
      <c r="BY625" s="46"/>
      <c r="BZ625" s="46"/>
      <c r="CA625" s="46"/>
      <c r="CB625" s="46"/>
      <c r="CC625" s="46"/>
      <c r="CD625" s="46"/>
      <c r="CE625" s="46"/>
      <c r="CF625" s="46"/>
      <c r="CG625" s="46"/>
      <c r="CH625" s="46"/>
      <c r="CI625" s="46"/>
      <c r="CJ625" s="46"/>
      <c r="CK625" s="46"/>
      <c r="CL625" s="46"/>
      <c r="CM625" s="46"/>
      <c r="CN625" s="46"/>
    </row>
    <row r="626">
      <c r="A626" s="46"/>
      <c r="B626" s="46"/>
      <c r="C626" s="46"/>
      <c r="D626" s="46"/>
      <c r="E626" s="46"/>
      <c r="F626" s="46"/>
      <c r="G626" s="46"/>
      <c r="H626" s="46"/>
      <c r="I626" s="46"/>
      <c r="J626" s="46"/>
      <c r="K626" s="46"/>
      <c r="L626" s="51"/>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51"/>
      <c r="BB626" s="46"/>
      <c r="BC626" s="46"/>
      <c r="BD626" s="46"/>
      <c r="BE626" s="46"/>
      <c r="BF626" s="46"/>
      <c r="BG626" s="46"/>
      <c r="BH626" s="46"/>
      <c r="BI626" s="46"/>
      <c r="BJ626" s="46"/>
      <c r="BK626" s="46"/>
      <c r="BL626" s="46"/>
      <c r="BM626" s="46"/>
      <c r="BN626" s="46"/>
      <c r="BO626" s="46"/>
      <c r="BP626" s="46"/>
      <c r="BQ626" s="46"/>
      <c r="BR626" s="46"/>
      <c r="BS626" s="46"/>
      <c r="BT626" s="46"/>
      <c r="BU626" s="46"/>
      <c r="BV626" s="46"/>
      <c r="BW626" s="46"/>
      <c r="BX626" s="46"/>
      <c r="BY626" s="46"/>
      <c r="BZ626" s="46"/>
      <c r="CA626" s="46"/>
      <c r="CB626" s="46"/>
      <c r="CC626" s="46"/>
      <c r="CD626" s="46"/>
      <c r="CE626" s="46"/>
      <c r="CF626" s="46"/>
      <c r="CG626" s="46"/>
      <c r="CH626" s="46"/>
      <c r="CI626" s="46"/>
      <c r="CJ626" s="46"/>
      <c r="CK626" s="46"/>
      <c r="CL626" s="46"/>
      <c r="CM626" s="46"/>
      <c r="CN626" s="46"/>
    </row>
    <row r="627">
      <c r="A627" s="46"/>
      <c r="B627" s="46"/>
      <c r="C627" s="46"/>
      <c r="D627" s="46"/>
      <c r="E627" s="46"/>
      <c r="F627" s="46"/>
      <c r="G627" s="46"/>
      <c r="H627" s="46"/>
      <c r="I627" s="46"/>
      <c r="J627" s="46"/>
      <c r="K627" s="46"/>
      <c r="L627" s="51"/>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51"/>
      <c r="BB627" s="46"/>
      <c r="BC627" s="46"/>
      <c r="BD627" s="46"/>
      <c r="BE627" s="46"/>
      <c r="BF627" s="46"/>
      <c r="BG627" s="46"/>
      <c r="BH627" s="46"/>
      <c r="BI627" s="46"/>
      <c r="BJ627" s="46"/>
      <c r="BK627" s="46"/>
      <c r="BL627" s="46"/>
      <c r="BM627" s="46"/>
      <c r="BN627" s="46"/>
      <c r="BO627" s="46"/>
      <c r="BP627" s="46"/>
      <c r="BQ627" s="46"/>
      <c r="BR627" s="46"/>
      <c r="BS627" s="46"/>
      <c r="BT627" s="46"/>
      <c r="BU627" s="46"/>
      <c r="BV627" s="46"/>
      <c r="BW627" s="46"/>
      <c r="BX627" s="46"/>
      <c r="BY627" s="46"/>
      <c r="BZ627" s="46"/>
      <c r="CA627" s="46"/>
      <c r="CB627" s="46"/>
      <c r="CC627" s="46"/>
      <c r="CD627" s="46"/>
      <c r="CE627" s="46"/>
      <c r="CF627" s="46"/>
      <c r="CG627" s="46"/>
      <c r="CH627" s="46"/>
      <c r="CI627" s="46"/>
      <c r="CJ627" s="46"/>
      <c r="CK627" s="46"/>
      <c r="CL627" s="46"/>
      <c r="CM627" s="46"/>
      <c r="CN627" s="46"/>
    </row>
    <row r="628">
      <c r="A628" s="46"/>
      <c r="B628" s="46"/>
      <c r="C628" s="46"/>
      <c r="D628" s="46"/>
      <c r="E628" s="46"/>
      <c r="F628" s="46"/>
      <c r="G628" s="46"/>
      <c r="H628" s="46"/>
      <c r="I628" s="46"/>
      <c r="J628" s="46"/>
      <c r="K628" s="46"/>
      <c r="L628" s="51"/>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51"/>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c r="CD628" s="46"/>
      <c r="CE628" s="46"/>
      <c r="CF628" s="46"/>
      <c r="CG628" s="46"/>
      <c r="CH628" s="46"/>
      <c r="CI628" s="46"/>
      <c r="CJ628" s="46"/>
      <c r="CK628" s="46"/>
      <c r="CL628" s="46"/>
      <c r="CM628" s="46"/>
      <c r="CN628" s="46"/>
    </row>
    <row r="629">
      <c r="A629" s="46"/>
      <c r="B629" s="46"/>
      <c r="C629" s="46"/>
      <c r="D629" s="46"/>
      <c r="E629" s="46"/>
      <c r="F629" s="46"/>
      <c r="G629" s="46"/>
      <c r="H629" s="46"/>
      <c r="I629" s="46"/>
      <c r="J629" s="46"/>
      <c r="K629" s="46"/>
      <c r="L629" s="51"/>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51"/>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46"/>
      <c r="BZ629" s="46"/>
      <c r="CA629" s="46"/>
      <c r="CB629" s="46"/>
      <c r="CC629" s="46"/>
      <c r="CD629" s="46"/>
      <c r="CE629" s="46"/>
      <c r="CF629" s="46"/>
      <c r="CG629" s="46"/>
      <c r="CH629" s="46"/>
      <c r="CI629" s="46"/>
      <c r="CJ629" s="46"/>
      <c r="CK629" s="46"/>
      <c r="CL629" s="46"/>
      <c r="CM629" s="46"/>
      <c r="CN629" s="46"/>
    </row>
    <row r="630">
      <c r="A630" s="46"/>
      <c r="B630" s="46"/>
      <c r="C630" s="46"/>
      <c r="D630" s="46"/>
      <c r="E630" s="46"/>
      <c r="F630" s="46"/>
      <c r="G630" s="46"/>
      <c r="H630" s="46"/>
      <c r="I630" s="46"/>
      <c r="J630" s="46"/>
      <c r="K630" s="46"/>
      <c r="L630" s="51"/>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51"/>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c r="CD630" s="46"/>
      <c r="CE630" s="46"/>
      <c r="CF630" s="46"/>
      <c r="CG630" s="46"/>
      <c r="CH630" s="46"/>
      <c r="CI630" s="46"/>
      <c r="CJ630" s="46"/>
      <c r="CK630" s="46"/>
      <c r="CL630" s="46"/>
      <c r="CM630" s="46"/>
      <c r="CN630" s="46"/>
    </row>
    <row r="631">
      <c r="A631" s="46"/>
      <c r="B631" s="46"/>
      <c r="C631" s="46"/>
      <c r="D631" s="46"/>
      <c r="E631" s="46"/>
      <c r="F631" s="46"/>
      <c r="G631" s="46"/>
      <c r="H631" s="46"/>
      <c r="I631" s="46"/>
      <c r="J631" s="46"/>
      <c r="K631" s="46"/>
      <c r="L631" s="51"/>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51"/>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46"/>
      <c r="BZ631" s="46"/>
      <c r="CA631" s="46"/>
      <c r="CB631" s="46"/>
      <c r="CC631" s="46"/>
      <c r="CD631" s="46"/>
      <c r="CE631" s="46"/>
      <c r="CF631" s="46"/>
      <c r="CG631" s="46"/>
      <c r="CH631" s="46"/>
      <c r="CI631" s="46"/>
      <c r="CJ631" s="46"/>
      <c r="CK631" s="46"/>
      <c r="CL631" s="46"/>
      <c r="CM631" s="46"/>
      <c r="CN631" s="46"/>
    </row>
    <row r="632">
      <c r="A632" s="46"/>
      <c r="B632" s="46"/>
      <c r="C632" s="46"/>
      <c r="D632" s="46"/>
      <c r="E632" s="46"/>
      <c r="F632" s="46"/>
      <c r="G632" s="46"/>
      <c r="H632" s="46"/>
      <c r="I632" s="46"/>
      <c r="J632" s="46"/>
      <c r="K632" s="46"/>
      <c r="L632" s="51"/>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51"/>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c r="CD632" s="46"/>
      <c r="CE632" s="46"/>
      <c r="CF632" s="46"/>
      <c r="CG632" s="46"/>
      <c r="CH632" s="46"/>
      <c r="CI632" s="46"/>
      <c r="CJ632" s="46"/>
      <c r="CK632" s="46"/>
      <c r="CL632" s="46"/>
      <c r="CM632" s="46"/>
      <c r="CN632" s="46"/>
    </row>
    <row r="633">
      <c r="A633" s="46"/>
      <c r="B633" s="46"/>
      <c r="C633" s="46"/>
      <c r="D633" s="46"/>
      <c r="E633" s="46"/>
      <c r="F633" s="46"/>
      <c r="G633" s="46"/>
      <c r="H633" s="46"/>
      <c r="I633" s="46"/>
      <c r="J633" s="46"/>
      <c r="K633" s="46"/>
      <c r="L633" s="51"/>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51"/>
      <c r="BB633" s="46"/>
      <c r="BC633" s="46"/>
      <c r="BD633" s="46"/>
      <c r="BE633" s="46"/>
      <c r="BF633" s="46"/>
      <c r="BG633" s="46"/>
      <c r="BH633" s="46"/>
      <c r="BI633" s="46"/>
      <c r="BJ633" s="46"/>
      <c r="BK633" s="46"/>
      <c r="BL633" s="46"/>
      <c r="BM633" s="46"/>
      <c r="BN633" s="46"/>
      <c r="BO633" s="46"/>
      <c r="BP633" s="46"/>
      <c r="BQ633" s="46"/>
      <c r="BR633" s="46"/>
      <c r="BS633" s="46"/>
      <c r="BT633" s="46"/>
      <c r="BU633" s="46"/>
      <c r="BV633" s="46"/>
      <c r="BW633" s="46"/>
      <c r="BX633" s="46"/>
      <c r="BY633" s="46"/>
      <c r="BZ633" s="46"/>
      <c r="CA633" s="46"/>
      <c r="CB633" s="46"/>
      <c r="CC633" s="46"/>
      <c r="CD633" s="46"/>
      <c r="CE633" s="46"/>
      <c r="CF633" s="46"/>
      <c r="CG633" s="46"/>
      <c r="CH633" s="46"/>
      <c r="CI633" s="46"/>
      <c r="CJ633" s="46"/>
      <c r="CK633" s="46"/>
      <c r="CL633" s="46"/>
      <c r="CM633" s="46"/>
      <c r="CN633" s="46"/>
    </row>
    <row r="634">
      <c r="A634" s="46"/>
      <c r="B634" s="46"/>
      <c r="C634" s="46"/>
      <c r="D634" s="46"/>
      <c r="E634" s="46"/>
      <c r="F634" s="46"/>
      <c r="G634" s="46"/>
      <c r="H634" s="46"/>
      <c r="I634" s="46"/>
      <c r="J634" s="46"/>
      <c r="K634" s="46"/>
      <c r="L634" s="51"/>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51"/>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c r="CD634" s="46"/>
      <c r="CE634" s="46"/>
      <c r="CF634" s="46"/>
      <c r="CG634" s="46"/>
      <c r="CH634" s="46"/>
      <c r="CI634" s="46"/>
      <c r="CJ634" s="46"/>
      <c r="CK634" s="46"/>
      <c r="CL634" s="46"/>
      <c r="CM634" s="46"/>
      <c r="CN634" s="46"/>
    </row>
    <row r="635">
      <c r="A635" s="46"/>
      <c r="B635" s="46"/>
      <c r="C635" s="46"/>
      <c r="D635" s="46"/>
      <c r="E635" s="46"/>
      <c r="F635" s="46"/>
      <c r="G635" s="46"/>
      <c r="H635" s="46"/>
      <c r="I635" s="46"/>
      <c r="J635" s="46"/>
      <c r="K635" s="46"/>
      <c r="L635" s="51"/>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51"/>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46"/>
      <c r="BZ635" s="46"/>
      <c r="CA635" s="46"/>
      <c r="CB635" s="46"/>
      <c r="CC635" s="46"/>
      <c r="CD635" s="46"/>
      <c r="CE635" s="46"/>
      <c r="CF635" s="46"/>
      <c r="CG635" s="46"/>
      <c r="CH635" s="46"/>
      <c r="CI635" s="46"/>
      <c r="CJ635" s="46"/>
      <c r="CK635" s="46"/>
      <c r="CL635" s="46"/>
      <c r="CM635" s="46"/>
      <c r="CN635" s="46"/>
    </row>
    <row r="636">
      <c r="A636" s="46"/>
      <c r="B636" s="46"/>
      <c r="C636" s="46"/>
      <c r="D636" s="46"/>
      <c r="E636" s="46"/>
      <c r="F636" s="46"/>
      <c r="G636" s="46"/>
      <c r="H636" s="46"/>
      <c r="I636" s="46"/>
      <c r="J636" s="46"/>
      <c r="K636" s="46"/>
      <c r="L636" s="51"/>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51"/>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c r="CD636" s="46"/>
      <c r="CE636" s="46"/>
      <c r="CF636" s="46"/>
      <c r="CG636" s="46"/>
      <c r="CH636" s="46"/>
      <c r="CI636" s="46"/>
      <c r="CJ636" s="46"/>
      <c r="CK636" s="46"/>
      <c r="CL636" s="46"/>
      <c r="CM636" s="46"/>
      <c r="CN636" s="46"/>
    </row>
    <row r="637">
      <c r="A637" s="46"/>
      <c r="B637" s="46"/>
      <c r="C637" s="46"/>
      <c r="D637" s="46"/>
      <c r="E637" s="46"/>
      <c r="F637" s="46"/>
      <c r="G637" s="46"/>
      <c r="H637" s="46"/>
      <c r="I637" s="46"/>
      <c r="J637" s="46"/>
      <c r="K637" s="46"/>
      <c r="L637" s="51"/>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51"/>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46"/>
      <c r="BZ637" s="46"/>
      <c r="CA637" s="46"/>
      <c r="CB637" s="46"/>
      <c r="CC637" s="46"/>
      <c r="CD637" s="46"/>
      <c r="CE637" s="46"/>
      <c r="CF637" s="46"/>
      <c r="CG637" s="46"/>
      <c r="CH637" s="46"/>
      <c r="CI637" s="46"/>
      <c r="CJ637" s="46"/>
      <c r="CK637" s="46"/>
      <c r="CL637" s="46"/>
      <c r="CM637" s="46"/>
      <c r="CN637" s="46"/>
    </row>
    <row r="638">
      <c r="A638" s="46"/>
      <c r="B638" s="46"/>
      <c r="C638" s="46"/>
      <c r="D638" s="46"/>
      <c r="E638" s="46"/>
      <c r="F638" s="46"/>
      <c r="G638" s="46"/>
      <c r="H638" s="46"/>
      <c r="I638" s="46"/>
      <c r="J638" s="46"/>
      <c r="K638" s="46"/>
      <c r="L638" s="51"/>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51"/>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c r="CD638" s="46"/>
      <c r="CE638" s="46"/>
      <c r="CF638" s="46"/>
      <c r="CG638" s="46"/>
      <c r="CH638" s="46"/>
      <c r="CI638" s="46"/>
      <c r="CJ638" s="46"/>
      <c r="CK638" s="46"/>
      <c r="CL638" s="46"/>
      <c r="CM638" s="46"/>
      <c r="CN638" s="46"/>
    </row>
    <row r="639">
      <c r="A639" s="46"/>
      <c r="B639" s="46"/>
      <c r="C639" s="46"/>
      <c r="D639" s="46"/>
      <c r="E639" s="46"/>
      <c r="F639" s="46"/>
      <c r="G639" s="46"/>
      <c r="H639" s="46"/>
      <c r="I639" s="46"/>
      <c r="J639" s="46"/>
      <c r="K639" s="46"/>
      <c r="L639" s="51"/>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51"/>
      <c r="BB639" s="46"/>
      <c r="BC639" s="46"/>
      <c r="BD639" s="46"/>
      <c r="BE639" s="46"/>
      <c r="BF639" s="46"/>
      <c r="BG639" s="46"/>
      <c r="BH639" s="46"/>
      <c r="BI639" s="46"/>
      <c r="BJ639" s="46"/>
      <c r="BK639" s="46"/>
      <c r="BL639" s="46"/>
      <c r="BM639" s="46"/>
      <c r="BN639" s="46"/>
      <c r="BO639" s="46"/>
      <c r="BP639" s="46"/>
      <c r="BQ639" s="46"/>
      <c r="BR639" s="46"/>
      <c r="BS639" s="46"/>
      <c r="BT639" s="46"/>
      <c r="BU639" s="46"/>
      <c r="BV639" s="46"/>
      <c r="BW639" s="46"/>
      <c r="BX639" s="46"/>
      <c r="BY639" s="46"/>
      <c r="BZ639" s="46"/>
      <c r="CA639" s="46"/>
      <c r="CB639" s="46"/>
      <c r="CC639" s="46"/>
      <c r="CD639" s="46"/>
      <c r="CE639" s="46"/>
      <c r="CF639" s="46"/>
      <c r="CG639" s="46"/>
      <c r="CH639" s="46"/>
      <c r="CI639" s="46"/>
      <c r="CJ639" s="46"/>
      <c r="CK639" s="46"/>
      <c r="CL639" s="46"/>
      <c r="CM639" s="46"/>
      <c r="CN639" s="46"/>
    </row>
    <row r="640">
      <c r="A640" s="46"/>
      <c r="B640" s="46"/>
      <c r="C640" s="46"/>
      <c r="D640" s="46"/>
      <c r="E640" s="46"/>
      <c r="F640" s="46"/>
      <c r="G640" s="46"/>
      <c r="H640" s="46"/>
      <c r="I640" s="46"/>
      <c r="J640" s="46"/>
      <c r="K640" s="46"/>
      <c r="L640" s="51"/>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51"/>
      <c r="BB640" s="46"/>
      <c r="BC640" s="46"/>
      <c r="BD640" s="46"/>
      <c r="BE640" s="46"/>
      <c r="BF640" s="46"/>
      <c r="BG640" s="46"/>
      <c r="BH640" s="46"/>
      <c r="BI640" s="46"/>
      <c r="BJ640" s="46"/>
      <c r="BK640" s="46"/>
      <c r="BL640" s="46"/>
      <c r="BM640" s="46"/>
      <c r="BN640" s="46"/>
      <c r="BO640" s="46"/>
      <c r="BP640" s="46"/>
      <c r="BQ640" s="46"/>
      <c r="BR640" s="46"/>
      <c r="BS640" s="46"/>
      <c r="BT640" s="46"/>
      <c r="BU640" s="46"/>
      <c r="BV640" s="46"/>
      <c r="BW640" s="46"/>
      <c r="BX640" s="46"/>
      <c r="BY640" s="46"/>
      <c r="BZ640" s="46"/>
      <c r="CA640" s="46"/>
      <c r="CB640" s="46"/>
      <c r="CC640" s="46"/>
      <c r="CD640" s="46"/>
      <c r="CE640" s="46"/>
      <c r="CF640" s="46"/>
      <c r="CG640" s="46"/>
      <c r="CH640" s="46"/>
      <c r="CI640" s="46"/>
      <c r="CJ640" s="46"/>
      <c r="CK640" s="46"/>
      <c r="CL640" s="46"/>
      <c r="CM640" s="46"/>
      <c r="CN640" s="46"/>
    </row>
    <row r="641">
      <c r="A641" s="46"/>
      <c r="B641" s="46"/>
      <c r="C641" s="46"/>
      <c r="D641" s="46"/>
      <c r="E641" s="46"/>
      <c r="F641" s="46"/>
      <c r="G641" s="46"/>
      <c r="H641" s="46"/>
      <c r="I641" s="46"/>
      <c r="J641" s="46"/>
      <c r="K641" s="46"/>
      <c r="L641" s="51"/>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51"/>
      <c r="BB641" s="46"/>
      <c r="BC641" s="46"/>
      <c r="BD641" s="46"/>
      <c r="BE641" s="46"/>
      <c r="BF641" s="46"/>
      <c r="BG641" s="46"/>
      <c r="BH641" s="46"/>
      <c r="BI641" s="46"/>
      <c r="BJ641" s="46"/>
      <c r="BK641" s="46"/>
      <c r="BL641" s="46"/>
      <c r="BM641" s="46"/>
      <c r="BN641" s="46"/>
      <c r="BO641" s="46"/>
      <c r="BP641" s="46"/>
      <c r="BQ641" s="46"/>
      <c r="BR641" s="46"/>
      <c r="BS641" s="46"/>
      <c r="BT641" s="46"/>
      <c r="BU641" s="46"/>
      <c r="BV641" s="46"/>
      <c r="BW641" s="46"/>
      <c r="BX641" s="46"/>
      <c r="BY641" s="46"/>
      <c r="BZ641" s="46"/>
      <c r="CA641" s="46"/>
      <c r="CB641" s="46"/>
      <c r="CC641" s="46"/>
      <c r="CD641" s="46"/>
      <c r="CE641" s="46"/>
      <c r="CF641" s="46"/>
      <c r="CG641" s="46"/>
      <c r="CH641" s="46"/>
      <c r="CI641" s="46"/>
      <c r="CJ641" s="46"/>
      <c r="CK641" s="46"/>
      <c r="CL641" s="46"/>
      <c r="CM641" s="46"/>
      <c r="CN641" s="46"/>
    </row>
    <row r="642">
      <c r="A642" s="46"/>
      <c r="B642" s="46"/>
      <c r="C642" s="46"/>
      <c r="D642" s="46"/>
      <c r="E642" s="46"/>
      <c r="F642" s="46"/>
      <c r="G642" s="46"/>
      <c r="H642" s="46"/>
      <c r="I642" s="46"/>
      <c r="J642" s="46"/>
      <c r="K642" s="46"/>
      <c r="L642" s="51"/>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51"/>
      <c r="BB642" s="46"/>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6"/>
      <c r="BY642" s="46"/>
      <c r="BZ642" s="46"/>
      <c r="CA642" s="46"/>
      <c r="CB642" s="46"/>
      <c r="CC642" s="46"/>
      <c r="CD642" s="46"/>
      <c r="CE642" s="46"/>
      <c r="CF642" s="46"/>
      <c r="CG642" s="46"/>
      <c r="CH642" s="46"/>
      <c r="CI642" s="46"/>
      <c r="CJ642" s="46"/>
      <c r="CK642" s="46"/>
      <c r="CL642" s="46"/>
      <c r="CM642" s="46"/>
      <c r="CN642" s="46"/>
    </row>
    <row r="643">
      <c r="A643" s="46"/>
      <c r="B643" s="46"/>
      <c r="C643" s="46"/>
      <c r="D643" s="46"/>
      <c r="E643" s="46"/>
      <c r="F643" s="46"/>
      <c r="G643" s="46"/>
      <c r="H643" s="46"/>
      <c r="I643" s="46"/>
      <c r="J643" s="46"/>
      <c r="K643" s="46"/>
      <c r="L643" s="51"/>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51"/>
      <c r="BB643" s="46"/>
      <c r="BC643" s="46"/>
      <c r="BD643" s="46"/>
      <c r="BE643" s="46"/>
      <c r="BF643" s="46"/>
      <c r="BG643" s="46"/>
      <c r="BH643" s="46"/>
      <c r="BI643" s="46"/>
      <c r="BJ643" s="46"/>
      <c r="BK643" s="46"/>
      <c r="BL643" s="46"/>
      <c r="BM643" s="46"/>
      <c r="BN643" s="46"/>
      <c r="BO643" s="46"/>
      <c r="BP643" s="46"/>
      <c r="BQ643" s="46"/>
      <c r="BR643" s="46"/>
      <c r="BS643" s="46"/>
      <c r="BT643" s="46"/>
      <c r="BU643" s="46"/>
      <c r="BV643" s="46"/>
      <c r="BW643" s="46"/>
      <c r="BX643" s="46"/>
      <c r="BY643" s="46"/>
      <c r="BZ643" s="46"/>
      <c r="CA643" s="46"/>
      <c r="CB643" s="46"/>
      <c r="CC643" s="46"/>
      <c r="CD643" s="46"/>
      <c r="CE643" s="46"/>
      <c r="CF643" s="46"/>
      <c r="CG643" s="46"/>
      <c r="CH643" s="46"/>
      <c r="CI643" s="46"/>
      <c r="CJ643" s="46"/>
      <c r="CK643" s="46"/>
      <c r="CL643" s="46"/>
      <c r="CM643" s="46"/>
      <c r="CN643" s="46"/>
    </row>
    <row r="644">
      <c r="A644" s="46"/>
      <c r="B644" s="46"/>
      <c r="C644" s="46"/>
      <c r="D644" s="46"/>
      <c r="E644" s="46"/>
      <c r="F644" s="46"/>
      <c r="G644" s="46"/>
      <c r="H644" s="46"/>
      <c r="I644" s="46"/>
      <c r="J644" s="46"/>
      <c r="K644" s="46"/>
      <c r="L644" s="51"/>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51"/>
      <c r="BB644" s="46"/>
      <c r="BC644" s="46"/>
      <c r="BD644" s="46"/>
      <c r="BE644" s="46"/>
      <c r="BF644" s="46"/>
      <c r="BG644" s="46"/>
      <c r="BH644" s="46"/>
      <c r="BI644" s="46"/>
      <c r="BJ644" s="46"/>
      <c r="BK644" s="46"/>
      <c r="BL644" s="46"/>
      <c r="BM644" s="46"/>
      <c r="BN644" s="46"/>
      <c r="BO644" s="46"/>
      <c r="BP644" s="46"/>
      <c r="BQ644" s="46"/>
      <c r="BR644" s="46"/>
      <c r="BS644" s="46"/>
      <c r="BT644" s="46"/>
      <c r="BU644" s="46"/>
      <c r="BV644" s="46"/>
      <c r="BW644" s="46"/>
      <c r="BX644" s="46"/>
      <c r="BY644" s="46"/>
      <c r="BZ644" s="46"/>
      <c r="CA644" s="46"/>
      <c r="CB644" s="46"/>
      <c r="CC644" s="46"/>
      <c r="CD644" s="46"/>
      <c r="CE644" s="46"/>
      <c r="CF644" s="46"/>
      <c r="CG644" s="46"/>
      <c r="CH644" s="46"/>
      <c r="CI644" s="46"/>
      <c r="CJ644" s="46"/>
      <c r="CK644" s="46"/>
      <c r="CL644" s="46"/>
      <c r="CM644" s="46"/>
      <c r="CN644" s="46"/>
    </row>
    <row r="645">
      <c r="A645" s="46"/>
      <c r="B645" s="46"/>
      <c r="C645" s="46"/>
      <c r="D645" s="46"/>
      <c r="E645" s="46"/>
      <c r="F645" s="46"/>
      <c r="G645" s="46"/>
      <c r="H645" s="46"/>
      <c r="I645" s="46"/>
      <c r="J645" s="46"/>
      <c r="K645" s="46"/>
      <c r="L645" s="51"/>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51"/>
      <c r="BB645" s="46"/>
      <c r="BC645" s="46"/>
      <c r="BD645" s="46"/>
      <c r="BE645" s="46"/>
      <c r="BF645" s="46"/>
      <c r="BG645" s="46"/>
      <c r="BH645" s="46"/>
      <c r="BI645" s="46"/>
      <c r="BJ645" s="46"/>
      <c r="BK645" s="46"/>
      <c r="BL645" s="46"/>
      <c r="BM645" s="46"/>
      <c r="BN645" s="46"/>
      <c r="BO645" s="46"/>
      <c r="BP645" s="46"/>
      <c r="BQ645" s="46"/>
      <c r="BR645" s="46"/>
      <c r="BS645" s="46"/>
      <c r="BT645" s="46"/>
      <c r="BU645" s="46"/>
      <c r="BV645" s="46"/>
      <c r="BW645" s="46"/>
      <c r="BX645" s="46"/>
      <c r="BY645" s="46"/>
      <c r="BZ645" s="46"/>
      <c r="CA645" s="46"/>
      <c r="CB645" s="46"/>
      <c r="CC645" s="46"/>
      <c r="CD645" s="46"/>
      <c r="CE645" s="46"/>
      <c r="CF645" s="46"/>
      <c r="CG645" s="46"/>
      <c r="CH645" s="46"/>
      <c r="CI645" s="46"/>
      <c r="CJ645" s="46"/>
      <c r="CK645" s="46"/>
      <c r="CL645" s="46"/>
      <c r="CM645" s="46"/>
      <c r="CN645" s="46"/>
    </row>
    <row r="646">
      <c r="A646" s="46"/>
      <c r="B646" s="46"/>
      <c r="C646" s="46"/>
      <c r="D646" s="46"/>
      <c r="E646" s="46"/>
      <c r="F646" s="46"/>
      <c r="G646" s="46"/>
      <c r="H646" s="46"/>
      <c r="I646" s="46"/>
      <c r="J646" s="46"/>
      <c r="K646" s="46"/>
      <c r="L646" s="51"/>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51"/>
      <c r="BB646" s="46"/>
      <c r="BC646" s="46"/>
      <c r="BD646" s="46"/>
      <c r="BE646" s="46"/>
      <c r="BF646" s="46"/>
      <c r="BG646" s="46"/>
      <c r="BH646" s="46"/>
      <c r="BI646" s="46"/>
      <c r="BJ646" s="46"/>
      <c r="BK646" s="46"/>
      <c r="BL646" s="46"/>
      <c r="BM646" s="46"/>
      <c r="BN646" s="46"/>
      <c r="BO646" s="46"/>
      <c r="BP646" s="46"/>
      <c r="BQ646" s="46"/>
      <c r="BR646" s="46"/>
      <c r="BS646" s="46"/>
      <c r="BT646" s="46"/>
      <c r="BU646" s="46"/>
      <c r="BV646" s="46"/>
      <c r="BW646" s="46"/>
      <c r="BX646" s="46"/>
      <c r="BY646" s="46"/>
      <c r="BZ646" s="46"/>
      <c r="CA646" s="46"/>
      <c r="CB646" s="46"/>
      <c r="CC646" s="46"/>
      <c r="CD646" s="46"/>
      <c r="CE646" s="46"/>
      <c r="CF646" s="46"/>
      <c r="CG646" s="46"/>
      <c r="CH646" s="46"/>
      <c r="CI646" s="46"/>
      <c r="CJ646" s="46"/>
      <c r="CK646" s="46"/>
      <c r="CL646" s="46"/>
      <c r="CM646" s="46"/>
      <c r="CN646" s="46"/>
    </row>
    <row r="647">
      <c r="A647" s="46"/>
      <c r="B647" s="46"/>
      <c r="C647" s="46"/>
      <c r="D647" s="46"/>
      <c r="E647" s="46"/>
      <c r="F647" s="46"/>
      <c r="G647" s="46"/>
      <c r="H647" s="46"/>
      <c r="I647" s="46"/>
      <c r="J647" s="46"/>
      <c r="K647" s="46"/>
      <c r="L647" s="51"/>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51"/>
      <c r="BB647" s="46"/>
      <c r="BC647" s="46"/>
      <c r="BD647" s="46"/>
      <c r="BE647" s="46"/>
      <c r="BF647" s="46"/>
      <c r="BG647" s="46"/>
      <c r="BH647" s="46"/>
      <c r="BI647" s="46"/>
      <c r="BJ647" s="46"/>
      <c r="BK647" s="46"/>
      <c r="BL647" s="46"/>
      <c r="BM647" s="46"/>
      <c r="BN647" s="46"/>
      <c r="BO647" s="46"/>
      <c r="BP647" s="46"/>
      <c r="BQ647" s="46"/>
      <c r="BR647" s="46"/>
      <c r="BS647" s="46"/>
      <c r="BT647" s="46"/>
      <c r="BU647" s="46"/>
      <c r="BV647" s="46"/>
      <c r="BW647" s="46"/>
      <c r="BX647" s="46"/>
      <c r="BY647" s="46"/>
      <c r="BZ647" s="46"/>
      <c r="CA647" s="46"/>
      <c r="CB647" s="46"/>
      <c r="CC647" s="46"/>
      <c r="CD647" s="46"/>
      <c r="CE647" s="46"/>
      <c r="CF647" s="46"/>
      <c r="CG647" s="46"/>
      <c r="CH647" s="46"/>
      <c r="CI647" s="46"/>
      <c r="CJ647" s="46"/>
      <c r="CK647" s="46"/>
      <c r="CL647" s="46"/>
      <c r="CM647" s="46"/>
      <c r="CN647" s="46"/>
    </row>
    <row r="648">
      <c r="A648" s="46"/>
      <c r="B648" s="46"/>
      <c r="C648" s="46"/>
      <c r="D648" s="46"/>
      <c r="E648" s="46"/>
      <c r="F648" s="46"/>
      <c r="G648" s="46"/>
      <c r="H648" s="46"/>
      <c r="I648" s="46"/>
      <c r="J648" s="46"/>
      <c r="K648" s="46"/>
      <c r="L648" s="51"/>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51"/>
      <c r="BB648" s="46"/>
      <c r="BC648" s="46"/>
      <c r="BD648" s="46"/>
      <c r="BE648" s="46"/>
      <c r="BF648" s="46"/>
      <c r="BG648" s="46"/>
      <c r="BH648" s="46"/>
      <c r="BI648" s="46"/>
      <c r="BJ648" s="46"/>
      <c r="BK648" s="46"/>
      <c r="BL648" s="46"/>
      <c r="BM648" s="46"/>
      <c r="BN648" s="46"/>
      <c r="BO648" s="46"/>
      <c r="BP648" s="46"/>
      <c r="BQ648" s="46"/>
      <c r="BR648" s="46"/>
      <c r="BS648" s="46"/>
      <c r="BT648" s="46"/>
      <c r="BU648" s="46"/>
      <c r="BV648" s="46"/>
      <c r="BW648" s="46"/>
      <c r="BX648" s="46"/>
      <c r="BY648" s="46"/>
      <c r="BZ648" s="46"/>
      <c r="CA648" s="46"/>
      <c r="CB648" s="46"/>
      <c r="CC648" s="46"/>
      <c r="CD648" s="46"/>
      <c r="CE648" s="46"/>
      <c r="CF648" s="46"/>
      <c r="CG648" s="46"/>
      <c r="CH648" s="46"/>
      <c r="CI648" s="46"/>
      <c r="CJ648" s="46"/>
      <c r="CK648" s="46"/>
      <c r="CL648" s="46"/>
      <c r="CM648" s="46"/>
      <c r="CN648" s="46"/>
    </row>
    <row r="649">
      <c r="A649" s="46"/>
      <c r="B649" s="46"/>
      <c r="C649" s="46"/>
      <c r="D649" s="46"/>
      <c r="E649" s="46"/>
      <c r="F649" s="46"/>
      <c r="G649" s="46"/>
      <c r="H649" s="46"/>
      <c r="I649" s="46"/>
      <c r="J649" s="46"/>
      <c r="K649" s="46"/>
      <c r="L649" s="51"/>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51"/>
      <c r="BB649" s="46"/>
      <c r="BC649" s="46"/>
      <c r="BD649" s="46"/>
      <c r="BE649" s="46"/>
      <c r="BF649" s="46"/>
      <c r="BG649" s="46"/>
      <c r="BH649" s="46"/>
      <c r="BI649" s="46"/>
      <c r="BJ649" s="46"/>
      <c r="BK649" s="46"/>
      <c r="BL649" s="46"/>
      <c r="BM649" s="46"/>
      <c r="BN649" s="46"/>
      <c r="BO649" s="46"/>
      <c r="BP649" s="46"/>
      <c r="BQ649" s="46"/>
      <c r="BR649" s="46"/>
      <c r="BS649" s="46"/>
      <c r="BT649" s="46"/>
      <c r="BU649" s="46"/>
      <c r="BV649" s="46"/>
      <c r="BW649" s="46"/>
      <c r="BX649" s="46"/>
      <c r="BY649" s="46"/>
      <c r="BZ649" s="46"/>
      <c r="CA649" s="46"/>
      <c r="CB649" s="46"/>
      <c r="CC649" s="46"/>
      <c r="CD649" s="46"/>
      <c r="CE649" s="46"/>
      <c r="CF649" s="46"/>
      <c r="CG649" s="46"/>
      <c r="CH649" s="46"/>
      <c r="CI649" s="46"/>
      <c r="CJ649" s="46"/>
      <c r="CK649" s="46"/>
      <c r="CL649" s="46"/>
      <c r="CM649" s="46"/>
      <c r="CN649" s="46"/>
    </row>
    <row r="650">
      <c r="A650" s="46"/>
      <c r="B650" s="46"/>
      <c r="C650" s="46"/>
      <c r="D650" s="46"/>
      <c r="E650" s="46"/>
      <c r="F650" s="46"/>
      <c r="G650" s="46"/>
      <c r="H650" s="46"/>
      <c r="I650" s="46"/>
      <c r="J650" s="46"/>
      <c r="K650" s="46"/>
      <c r="L650" s="51"/>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51"/>
      <c r="BB650" s="46"/>
      <c r="BC650" s="46"/>
      <c r="BD650" s="46"/>
      <c r="BE650" s="46"/>
      <c r="BF650" s="46"/>
      <c r="BG650" s="46"/>
      <c r="BH650" s="46"/>
      <c r="BI650" s="46"/>
      <c r="BJ650" s="46"/>
      <c r="BK650" s="46"/>
      <c r="BL650" s="46"/>
      <c r="BM650" s="46"/>
      <c r="BN650" s="46"/>
      <c r="BO650" s="46"/>
      <c r="BP650" s="46"/>
      <c r="BQ650" s="46"/>
      <c r="BR650" s="46"/>
      <c r="BS650" s="46"/>
      <c r="BT650" s="46"/>
      <c r="BU650" s="46"/>
      <c r="BV650" s="46"/>
      <c r="BW650" s="46"/>
      <c r="BX650" s="46"/>
      <c r="BY650" s="46"/>
      <c r="BZ650" s="46"/>
      <c r="CA650" s="46"/>
      <c r="CB650" s="46"/>
      <c r="CC650" s="46"/>
      <c r="CD650" s="46"/>
      <c r="CE650" s="46"/>
      <c r="CF650" s="46"/>
      <c r="CG650" s="46"/>
      <c r="CH650" s="46"/>
      <c r="CI650" s="46"/>
      <c r="CJ650" s="46"/>
      <c r="CK650" s="46"/>
      <c r="CL650" s="46"/>
      <c r="CM650" s="46"/>
      <c r="CN650" s="46"/>
    </row>
    <row r="651">
      <c r="A651" s="46"/>
      <c r="B651" s="46"/>
      <c r="C651" s="46"/>
      <c r="D651" s="46"/>
      <c r="E651" s="46"/>
      <c r="F651" s="46"/>
      <c r="G651" s="46"/>
      <c r="H651" s="46"/>
      <c r="I651" s="46"/>
      <c r="J651" s="46"/>
      <c r="K651" s="46"/>
      <c r="L651" s="51"/>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51"/>
      <c r="BB651" s="46"/>
      <c r="BC651" s="46"/>
      <c r="BD651" s="46"/>
      <c r="BE651" s="46"/>
      <c r="BF651" s="46"/>
      <c r="BG651" s="46"/>
      <c r="BH651" s="46"/>
      <c r="BI651" s="46"/>
      <c r="BJ651" s="46"/>
      <c r="BK651" s="46"/>
      <c r="BL651" s="46"/>
      <c r="BM651" s="46"/>
      <c r="BN651" s="46"/>
      <c r="BO651" s="46"/>
      <c r="BP651" s="46"/>
      <c r="BQ651" s="46"/>
      <c r="BR651" s="46"/>
      <c r="BS651" s="46"/>
      <c r="BT651" s="46"/>
      <c r="BU651" s="46"/>
      <c r="BV651" s="46"/>
      <c r="BW651" s="46"/>
      <c r="BX651" s="46"/>
      <c r="BY651" s="46"/>
      <c r="BZ651" s="46"/>
      <c r="CA651" s="46"/>
      <c r="CB651" s="46"/>
      <c r="CC651" s="46"/>
      <c r="CD651" s="46"/>
      <c r="CE651" s="46"/>
      <c r="CF651" s="46"/>
      <c r="CG651" s="46"/>
      <c r="CH651" s="46"/>
      <c r="CI651" s="46"/>
      <c r="CJ651" s="46"/>
      <c r="CK651" s="46"/>
      <c r="CL651" s="46"/>
      <c r="CM651" s="46"/>
      <c r="CN651" s="46"/>
    </row>
    <row r="652">
      <c r="A652" s="46"/>
      <c r="B652" s="46"/>
      <c r="C652" s="46"/>
      <c r="D652" s="46"/>
      <c r="E652" s="46"/>
      <c r="F652" s="46"/>
      <c r="G652" s="46"/>
      <c r="H652" s="46"/>
      <c r="I652" s="46"/>
      <c r="J652" s="46"/>
      <c r="K652" s="46"/>
      <c r="L652" s="51"/>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51"/>
      <c r="BB652" s="46"/>
      <c r="BC652" s="46"/>
      <c r="BD652" s="46"/>
      <c r="BE652" s="46"/>
      <c r="BF652" s="46"/>
      <c r="BG652" s="46"/>
      <c r="BH652" s="46"/>
      <c r="BI652" s="46"/>
      <c r="BJ652" s="46"/>
      <c r="BK652" s="46"/>
      <c r="BL652" s="46"/>
      <c r="BM652" s="46"/>
      <c r="BN652" s="46"/>
      <c r="BO652" s="46"/>
      <c r="BP652" s="46"/>
      <c r="BQ652" s="46"/>
      <c r="BR652" s="46"/>
      <c r="BS652" s="46"/>
      <c r="BT652" s="46"/>
      <c r="BU652" s="46"/>
      <c r="BV652" s="46"/>
      <c r="BW652" s="46"/>
      <c r="BX652" s="46"/>
      <c r="BY652" s="46"/>
      <c r="BZ652" s="46"/>
      <c r="CA652" s="46"/>
      <c r="CB652" s="46"/>
      <c r="CC652" s="46"/>
      <c r="CD652" s="46"/>
      <c r="CE652" s="46"/>
      <c r="CF652" s="46"/>
      <c r="CG652" s="46"/>
      <c r="CH652" s="46"/>
      <c r="CI652" s="46"/>
      <c r="CJ652" s="46"/>
      <c r="CK652" s="46"/>
      <c r="CL652" s="46"/>
      <c r="CM652" s="46"/>
      <c r="CN652" s="46"/>
    </row>
    <row r="653">
      <c r="A653" s="46"/>
      <c r="B653" s="46"/>
      <c r="C653" s="46"/>
      <c r="D653" s="46"/>
      <c r="E653" s="46"/>
      <c r="F653" s="46"/>
      <c r="G653" s="46"/>
      <c r="H653" s="46"/>
      <c r="I653" s="46"/>
      <c r="J653" s="46"/>
      <c r="K653" s="46"/>
      <c r="L653" s="51"/>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51"/>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c r="CD653" s="46"/>
      <c r="CE653" s="46"/>
      <c r="CF653" s="46"/>
      <c r="CG653" s="46"/>
      <c r="CH653" s="46"/>
      <c r="CI653" s="46"/>
      <c r="CJ653" s="46"/>
      <c r="CK653" s="46"/>
      <c r="CL653" s="46"/>
      <c r="CM653" s="46"/>
      <c r="CN653" s="46"/>
    </row>
    <row r="654">
      <c r="A654" s="46"/>
      <c r="B654" s="46"/>
      <c r="C654" s="46"/>
      <c r="D654" s="46"/>
      <c r="E654" s="46"/>
      <c r="F654" s="46"/>
      <c r="G654" s="46"/>
      <c r="H654" s="46"/>
      <c r="I654" s="46"/>
      <c r="J654" s="46"/>
      <c r="K654" s="46"/>
      <c r="L654" s="51"/>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51"/>
      <c r="BB654" s="46"/>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46"/>
      <c r="BZ654" s="46"/>
      <c r="CA654" s="46"/>
      <c r="CB654" s="46"/>
      <c r="CC654" s="46"/>
      <c r="CD654" s="46"/>
      <c r="CE654" s="46"/>
      <c r="CF654" s="46"/>
      <c r="CG654" s="46"/>
      <c r="CH654" s="46"/>
      <c r="CI654" s="46"/>
      <c r="CJ654" s="46"/>
      <c r="CK654" s="46"/>
      <c r="CL654" s="46"/>
      <c r="CM654" s="46"/>
      <c r="CN654" s="46"/>
    </row>
    <row r="655">
      <c r="A655" s="46"/>
      <c r="B655" s="46"/>
      <c r="C655" s="46"/>
      <c r="D655" s="46"/>
      <c r="E655" s="46"/>
      <c r="F655" s="46"/>
      <c r="G655" s="46"/>
      <c r="H655" s="46"/>
      <c r="I655" s="46"/>
      <c r="J655" s="46"/>
      <c r="K655" s="46"/>
      <c r="L655" s="51"/>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51"/>
      <c r="BB655" s="46"/>
      <c r="BC655" s="46"/>
      <c r="BD655" s="46"/>
      <c r="BE655" s="46"/>
      <c r="BF655" s="46"/>
      <c r="BG655" s="46"/>
      <c r="BH655" s="46"/>
      <c r="BI655" s="46"/>
      <c r="BJ655" s="46"/>
      <c r="BK655" s="46"/>
      <c r="BL655" s="46"/>
      <c r="BM655" s="46"/>
      <c r="BN655" s="46"/>
      <c r="BO655" s="46"/>
      <c r="BP655" s="46"/>
      <c r="BQ655" s="46"/>
      <c r="BR655" s="46"/>
      <c r="BS655" s="46"/>
      <c r="BT655" s="46"/>
      <c r="BU655" s="46"/>
      <c r="BV655" s="46"/>
      <c r="BW655" s="46"/>
      <c r="BX655" s="46"/>
      <c r="BY655" s="46"/>
      <c r="BZ655" s="46"/>
      <c r="CA655" s="46"/>
      <c r="CB655" s="46"/>
      <c r="CC655" s="46"/>
      <c r="CD655" s="46"/>
      <c r="CE655" s="46"/>
      <c r="CF655" s="46"/>
      <c r="CG655" s="46"/>
      <c r="CH655" s="46"/>
      <c r="CI655" s="46"/>
      <c r="CJ655" s="46"/>
      <c r="CK655" s="46"/>
      <c r="CL655" s="46"/>
      <c r="CM655" s="46"/>
      <c r="CN655" s="46"/>
    </row>
    <row r="656">
      <c r="A656" s="46"/>
      <c r="B656" s="46"/>
      <c r="C656" s="46"/>
      <c r="D656" s="46"/>
      <c r="E656" s="46"/>
      <c r="F656" s="46"/>
      <c r="G656" s="46"/>
      <c r="H656" s="46"/>
      <c r="I656" s="46"/>
      <c r="J656" s="46"/>
      <c r="K656" s="46"/>
      <c r="L656" s="51"/>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51"/>
      <c r="BB656" s="46"/>
      <c r="BC656" s="46"/>
      <c r="BD656" s="46"/>
      <c r="BE656" s="46"/>
      <c r="BF656" s="46"/>
      <c r="BG656" s="46"/>
      <c r="BH656" s="46"/>
      <c r="BI656" s="46"/>
      <c r="BJ656" s="46"/>
      <c r="BK656" s="46"/>
      <c r="BL656" s="46"/>
      <c r="BM656" s="46"/>
      <c r="BN656" s="46"/>
      <c r="BO656" s="46"/>
      <c r="BP656" s="46"/>
      <c r="BQ656" s="46"/>
      <c r="BR656" s="46"/>
      <c r="BS656" s="46"/>
      <c r="BT656" s="46"/>
      <c r="BU656" s="46"/>
      <c r="BV656" s="46"/>
      <c r="BW656" s="46"/>
      <c r="BX656" s="46"/>
      <c r="BY656" s="46"/>
      <c r="BZ656" s="46"/>
      <c r="CA656" s="46"/>
      <c r="CB656" s="46"/>
      <c r="CC656" s="46"/>
      <c r="CD656" s="46"/>
      <c r="CE656" s="46"/>
      <c r="CF656" s="46"/>
      <c r="CG656" s="46"/>
      <c r="CH656" s="46"/>
      <c r="CI656" s="46"/>
      <c r="CJ656" s="46"/>
      <c r="CK656" s="46"/>
      <c r="CL656" s="46"/>
      <c r="CM656" s="46"/>
      <c r="CN656" s="46"/>
    </row>
    <row r="657">
      <c r="A657" s="46"/>
      <c r="B657" s="46"/>
      <c r="C657" s="46"/>
      <c r="D657" s="46"/>
      <c r="E657" s="46"/>
      <c r="F657" s="46"/>
      <c r="G657" s="46"/>
      <c r="H657" s="46"/>
      <c r="I657" s="46"/>
      <c r="J657" s="46"/>
      <c r="K657" s="46"/>
      <c r="L657" s="51"/>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51"/>
      <c r="BB657" s="46"/>
      <c r="BC657" s="46"/>
      <c r="BD657" s="46"/>
      <c r="BE657" s="46"/>
      <c r="BF657" s="46"/>
      <c r="BG657" s="46"/>
      <c r="BH657" s="46"/>
      <c r="BI657" s="46"/>
      <c r="BJ657" s="46"/>
      <c r="BK657" s="46"/>
      <c r="BL657" s="46"/>
      <c r="BM657" s="46"/>
      <c r="BN657" s="46"/>
      <c r="BO657" s="46"/>
      <c r="BP657" s="46"/>
      <c r="BQ657" s="46"/>
      <c r="BR657" s="46"/>
      <c r="BS657" s="46"/>
      <c r="BT657" s="46"/>
      <c r="BU657" s="46"/>
      <c r="BV657" s="46"/>
      <c r="BW657" s="46"/>
      <c r="BX657" s="46"/>
      <c r="BY657" s="46"/>
      <c r="BZ657" s="46"/>
      <c r="CA657" s="46"/>
      <c r="CB657" s="46"/>
      <c r="CC657" s="46"/>
      <c r="CD657" s="46"/>
      <c r="CE657" s="46"/>
      <c r="CF657" s="46"/>
      <c r="CG657" s="46"/>
      <c r="CH657" s="46"/>
      <c r="CI657" s="46"/>
      <c r="CJ657" s="46"/>
      <c r="CK657" s="46"/>
      <c r="CL657" s="46"/>
      <c r="CM657" s="46"/>
      <c r="CN657" s="46"/>
    </row>
    <row r="658">
      <c r="A658" s="46"/>
      <c r="B658" s="46"/>
      <c r="C658" s="46"/>
      <c r="D658" s="46"/>
      <c r="E658" s="46"/>
      <c r="F658" s="46"/>
      <c r="G658" s="46"/>
      <c r="H658" s="46"/>
      <c r="I658" s="46"/>
      <c r="J658" s="46"/>
      <c r="K658" s="46"/>
      <c r="L658" s="51"/>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51"/>
      <c r="BB658" s="46"/>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6"/>
      <c r="BY658" s="46"/>
      <c r="BZ658" s="46"/>
      <c r="CA658" s="46"/>
      <c r="CB658" s="46"/>
      <c r="CC658" s="46"/>
      <c r="CD658" s="46"/>
      <c r="CE658" s="46"/>
      <c r="CF658" s="46"/>
      <c r="CG658" s="46"/>
      <c r="CH658" s="46"/>
      <c r="CI658" s="46"/>
      <c r="CJ658" s="46"/>
      <c r="CK658" s="46"/>
      <c r="CL658" s="46"/>
      <c r="CM658" s="46"/>
      <c r="CN658" s="46"/>
    </row>
    <row r="659">
      <c r="A659" s="46"/>
      <c r="B659" s="46"/>
      <c r="C659" s="46"/>
      <c r="D659" s="46"/>
      <c r="E659" s="46"/>
      <c r="F659" s="46"/>
      <c r="G659" s="46"/>
      <c r="H659" s="46"/>
      <c r="I659" s="46"/>
      <c r="J659" s="46"/>
      <c r="K659" s="46"/>
      <c r="L659" s="51"/>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51"/>
      <c r="BB659" s="46"/>
      <c r="BC659" s="46"/>
      <c r="BD659" s="46"/>
      <c r="BE659" s="46"/>
      <c r="BF659" s="46"/>
      <c r="BG659" s="46"/>
      <c r="BH659" s="46"/>
      <c r="BI659" s="46"/>
      <c r="BJ659" s="46"/>
      <c r="BK659" s="46"/>
      <c r="BL659" s="46"/>
      <c r="BM659" s="46"/>
      <c r="BN659" s="46"/>
      <c r="BO659" s="46"/>
      <c r="BP659" s="46"/>
      <c r="BQ659" s="46"/>
      <c r="BR659" s="46"/>
      <c r="BS659" s="46"/>
      <c r="BT659" s="46"/>
      <c r="BU659" s="46"/>
      <c r="BV659" s="46"/>
      <c r="BW659" s="46"/>
      <c r="BX659" s="46"/>
      <c r="BY659" s="46"/>
      <c r="BZ659" s="46"/>
      <c r="CA659" s="46"/>
      <c r="CB659" s="46"/>
      <c r="CC659" s="46"/>
      <c r="CD659" s="46"/>
      <c r="CE659" s="46"/>
      <c r="CF659" s="46"/>
      <c r="CG659" s="46"/>
      <c r="CH659" s="46"/>
      <c r="CI659" s="46"/>
      <c r="CJ659" s="46"/>
      <c r="CK659" s="46"/>
      <c r="CL659" s="46"/>
      <c r="CM659" s="46"/>
      <c r="CN659" s="46"/>
    </row>
    <row r="660">
      <c r="A660" s="46"/>
      <c r="B660" s="46"/>
      <c r="C660" s="46"/>
      <c r="D660" s="46"/>
      <c r="E660" s="46"/>
      <c r="F660" s="46"/>
      <c r="G660" s="46"/>
      <c r="H660" s="46"/>
      <c r="I660" s="46"/>
      <c r="J660" s="46"/>
      <c r="K660" s="46"/>
      <c r="L660" s="51"/>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51"/>
      <c r="BB660" s="46"/>
      <c r="BC660" s="46"/>
      <c r="BD660" s="46"/>
      <c r="BE660" s="46"/>
      <c r="BF660" s="46"/>
      <c r="BG660" s="46"/>
      <c r="BH660" s="46"/>
      <c r="BI660" s="46"/>
      <c r="BJ660" s="46"/>
      <c r="BK660" s="46"/>
      <c r="BL660" s="46"/>
      <c r="BM660" s="46"/>
      <c r="BN660" s="46"/>
      <c r="BO660" s="46"/>
      <c r="BP660" s="46"/>
      <c r="BQ660" s="46"/>
      <c r="BR660" s="46"/>
      <c r="BS660" s="46"/>
      <c r="BT660" s="46"/>
      <c r="BU660" s="46"/>
      <c r="BV660" s="46"/>
      <c r="BW660" s="46"/>
      <c r="BX660" s="46"/>
      <c r="BY660" s="46"/>
      <c r="BZ660" s="46"/>
      <c r="CA660" s="46"/>
      <c r="CB660" s="46"/>
      <c r="CC660" s="46"/>
      <c r="CD660" s="46"/>
      <c r="CE660" s="46"/>
      <c r="CF660" s="46"/>
      <c r="CG660" s="46"/>
      <c r="CH660" s="46"/>
      <c r="CI660" s="46"/>
      <c r="CJ660" s="46"/>
      <c r="CK660" s="46"/>
      <c r="CL660" s="46"/>
      <c r="CM660" s="46"/>
      <c r="CN660" s="46"/>
    </row>
    <row r="661">
      <c r="A661" s="46"/>
      <c r="B661" s="46"/>
      <c r="C661" s="46"/>
      <c r="D661" s="46"/>
      <c r="E661" s="46"/>
      <c r="F661" s="46"/>
      <c r="G661" s="46"/>
      <c r="H661" s="46"/>
      <c r="I661" s="46"/>
      <c r="J661" s="46"/>
      <c r="K661" s="46"/>
      <c r="L661" s="51"/>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51"/>
      <c r="BB661" s="46"/>
      <c r="BC661" s="46"/>
      <c r="BD661" s="46"/>
      <c r="BE661" s="46"/>
      <c r="BF661" s="46"/>
      <c r="BG661" s="46"/>
      <c r="BH661" s="46"/>
      <c r="BI661" s="46"/>
      <c r="BJ661" s="46"/>
      <c r="BK661" s="46"/>
      <c r="BL661" s="46"/>
      <c r="BM661" s="46"/>
      <c r="BN661" s="46"/>
      <c r="BO661" s="46"/>
      <c r="BP661" s="46"/>
      <c r="BQ661" s="46"/>
      <c r="BR661" s="46"/>
      <c r="BS661" s="46"/>
      <c r="BT661" s="46"/>
      <c r="BU661" s="46"/>
      <c r="BV661" s="46"/>
      <c r="BW661" s="46"/>
      <c r="BX661" s="46"/>
      <c r="BY661" s="46"/>
      <c r="BZ661" s="46"/>
      <c r="CA661" s="46"/>
      <c r="CB661" s="46"/>
      <c r="CC661" s="46"/>
      <c r="CD661" s="46"/>
      <c r="CE661" s="46"/>
      <c r="CF661" s="46"/>
      <c r="CG661" s="46"/>
      <c r="CH661" s="46"/>
      <c r="CI661" s="46"/>
      <c r="CJ661" s="46"/>
      <c r="CK661" s="46"/>
      <c r="CL661" s="46"/>
      <c r="CM661" s="46"/>
      <c r="CN661" s="46"/>
    </row>
    <row r="662">
      <c r="A662" s="46"/>
      <c r="B662" s="46"/>
      <c r="C662" s="46"/>
      <c r="D662" s="46"/>
      <c r="E662" s="46"/>
      <c r="F662" s="46"/>
      <c r="G662" s="46"/>
      <c r="H662" s="46"/>
      <c r="I662" s="46"/>
      <c r="J662" s="46"/>
      <c r="K662" s="46"/>
      <c r="L662" s="51"/>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51"/>
      <c r="BB662" s="46"/>
      <c r="BC662" s="46"/>
      <c r="BD662" s="46"/>
      <c r="BE662" s="46"/>
      <c r="BF662" s="46"/>
      <c r="BG662" s="46"/>
      <c r="BH662" s="46"/>
      <c r="BI662" s="46"/>
      <c r="BJ662" s="46"/>
      <c r="BK662" s="46"/>
      <c r="BL662" s="46"/>
      <c r="BM662" s="46"/>
      <c r="BN662" s="46"/>
      <c r="BO662" s="46"/>
      <c r="BP662" s="46"/>
      <c r="BQ662" s="46"/>
      <c r="BR662" s="46"/>
      <c r="BS662" s="46"/>
      <c r="BT662" s="46"/>
      <c r="BU662" s="46"/>
      <c r="BV662" s="46"/>
      <c r="BW662" s="46"/>
      <c r="BX662" s="46"/>
      <c r="BY662" s="46"/>
      <c r="BZ662" s="46"/>
      <c r="CA662" s="46"/>
      <c r="CB662" s="46"/>
      <c r="CC662" s="46"/>
      <c r="CD662" s="46"/>
      <c r="CE662" s="46"/>
      <c r="CF662" s="46"/>
      <c r="CG662" s="46"/>
      <c r="CH662" s="46"/>
      <c r="CI662" s="46"/>
      <c r="CJ662" s="46"/>
      <c r="CK662" s="46"/>
      <c r="CL662" s="46"/>
      <c r="CM662" s="46"/>
      <c r="CN662" s="46"/>
    </row>
    <row r="663">
      <c r="A663" s="46"/>
      <c r="B663" s="46"/>
      <c r="C663" s="46"/>
      <c r="D663" s="46"/>
      <c r="E663" s="46"/>
      <c r="F663" s="46"/>
      <c r="G663" s="46"/>
      <c r="H663" s="46"/>
      <c r="I663" s="46"/>
      <c r="J663" s="46"/>
      <c r="K663" s="46"/>
      <c r="L663" s="51"/>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51"/>
      <c r="BB663" s="46"/>
      <c r="BC663" s="46"/>
      <c r="BD663" s="46"/>
      <c r="BE663" s="46"/>
      <c r="BF663" s="46"/>
      <c r="BG663" s="46"/>
      <c r="BH663" s="46"/>
      <c r="BI663" s="46"/>
      <c r="BJ663" s="46"/>
      <c r="BK663" s="46"/>
      <c r="BL663" s="46"/>
      <c r="BM663" s="46"/>
      <c r="BN663" s="46"/>
      <c r="BO663" s="46"/>
      <c r="BP663" s="46"/>
      <c r="BQ663" s="46"/>
      <c r="BR663" s="46"/>
      <c r="BS663" s="46"/>
      <c r="BT663" s="46"/>
      <c r="BU663" s="46"/>
      <c r="BV663" s="46"/>
      <c r="BW663" s="46"/>
      <c r="BX663" s="46"/>
      <c r="BY663" s="46"/>
      <c r="BZ663" s="46"/>
      <c r="CA663" s="46"/>
      <c r="CB663" s="46"/>
      <c r="CC663" s="46"/>
      <c r="CD663" s="46"/>
      <c r="CE663" s="46"/>
      <c r="CF663" s="46"/>
      <c r="CG663" s="46"/>
      <c r="CH663" s="46"/>
      <c r="CI663" s="46"/>
      <c r="CJ663" s="46"/>
      <c r="CK663" s="46"/>
      <c r="CL663" s="46"/>
      <c r="CM663" s="46"/>
      <c r="CN663" s="46"/>
    </row>
    <row r="664">
      <c r="A664" s="46"/>
      <c r="B664" s="46"/>
      <c r="C664" s="46"/>
      <c r="D664" s="46"/>
      <c r="E664" s="46"/>
      <c r="F664" s="46"/>
      <c r="G664" s="46"/>
      <c r="H664" s="46"/>
      <c r="I664" s="46"/>
      <c r="J664" s="46"/>
      <c r="K664" s="46"/>
      <c r="L664" s="51"/>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51"/>
      <c r="BB664" s="46"/>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6"/>
      <c r="BY664" s="46"/>
      <c r="BZ664" s="46"/>
      <c r="CA664" s="46"/>
      <c r="CB664" s="46"/>
      <c r="CC664" s="46"/>
      <c r="CD664" s="46"/>
      <c r="CE664" s="46"/>
      <c r="CF664" s="46"/>
      <c r="CG664" s="46"/>
      <c r="CH664" s="46"/>
      <c r="CI664" s="46"/>
      <c r="CJ664" s="46"/>
      <c r="CK664" s="46"/>
      <c r="CL664" s="46"/>
      <c r="CM664" s="46"/>
      <c r="CN664" s="46"/>
    </row>
    <row r="665">
      <c r="A665" s="46"/>
      <c r="B665" s="46"/>
      <c r="C665" s="46"/>
      <c r="D665" s="46"/>
      <c r="E665" s="46"/>
      <c r="F665" s="46"/>
      <c r="G665" s="46"/>
      <c r="H665" s="46"/>
      <c r="I665" s="46"/>
      <c r="J665" s="46"/>
      <c r="K665" s="46"/>
      <c r="L665" s="51"/>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51"/>
      <c r="BB665" s="46"/>
      <c r="BC665" s="46"/>
      <c r="BD665" s="46"/>
      <c r="BE665" s="46"/>
      <c r="BF665" s="46"/>
      <c r="BG665" s="46"/>
      <c r="BH665" s="46"/>
      <c r="BI665" s="46"/>
      <c r="BJ665" s="46"/>
      <c r="BK665" s="46"/>
      <c r="BL665" s="46"/>
      <c r="BM665" s="46"/>
      <c r="BN665" s="46"/>
      <c r="BO665" s="46"/>
      <c r="BP665" s="46"/>
      <c r="BQ665" s="46"/>
      <c r="BR665" s="46"/>
      <c r="BS665" s="46"/>
      <c r="BT665" s="46"/>
      <c r="BU665" s="46"/>
      <c r="BV665" s="46"/>
      <c r="BW665" s="46"/>
      <c r="BX665" s="46"/>
      <c r="BY665" s="46"/>
      <c r="BZ665" s="46"/>
      <c r="CA665" s="46"/>
      <c r="CB665" s="46"/>
      <c r="CC665" s="46"/>
      <c r="CD665" s="46"/>
      <c r="CE665" s="46"/>
      <c r="CF665" s="46"/>
      <c r="CG665" s="46"/>
      <c r="CH665" s="46"/>
      <c r="CI665" s="46"/>
      <c r="CJ665" s="46"/>
      <c r="CK665" s="46"/>
      <c r="CL665" s="46"/>
      <c r="CM665" s="46"/>
      <c r="CN665" s="46"/>
    </row>
    <row r="666">
      <c r="A666" s="46"/>
      <c r="B666" s="46"/>
      <c r="C666" s="46"/>
      <c r="D666" s="46"/>
      <c r="E666" s="46"/>
      <c r="F666" s="46"/>
      <c r="G666" s="46"/>
      <c r="H666" s="46"/>
      <c r="I666" s="46"/>
      <c r="J666" s="46"/>
      <c r="K666" s="46"/>
      <c r="L666" s="51"/>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51"/>
      <c r="BB666" s="46"/>
      <c r="BC666" s="46"/>
      <c r="BD666" s="46"/>
      <c r="BE666" s="46"/>
      <c r="BF666" s="46"/>
      <c r="BG666" s="46"/>
      <c r="BH666" s="46"/>
      <c r="BI666" s="46"/>
      <c r="BJ666" s="46"/>
      <c r="BK666" s="46"/>
      <c r="BL666" s="46"/>
      <c r="BM666" s="46"/>
      <c r="BN666" s="46"/>
      <c r="BO666" s="46"/>
      <c r="BP666" s="46"/>
      <c r="BQ666" s="46"/>
      <c r="BR666" s="46"/>
      <c r="BS666" s="46"/>
      <c r="BT666" s="46"/>
      <c r="BU666" s="46"/>
      <c r="BV666" s="46"/>
      <c r="BW666" s="46"/>
      <c r="BX666" s="46"/>
      <c r="BY666" s="46"/>
      <c r="BZ666" s="46"/>
      <c r="CA666" s="46"/>
      <c r="CB666" s="46"/>
      <c r="CC666" s="46"/>
      <c r="CD666" s="46"/>
      <c r="CE666" s="46"/>
      <c r="CF666" s="46"/>
      <c r="CG666" s="46"/>
      <c r="CH666" s="46"/>
      <c r="CI666" s="46"/>
      <c r="CJ666" s="46"/>
      <c r="CK666" s="46"/>
      <c r="CL666" s="46"/>
      <c r="CM666" s="46"/>
      <c r="CN666" s="46"/>
    </row>
    <row r="667">
      <c r="A667" s="46"/>
      <c r="B667" s="46"/>
      <c r="C667" s="46"/>
      <c r="D667" s="46"/>
      <c r="E667" s="46"/>
      <c r="F667" s="46"/>
      <c r="G667" s="46"/>
      <c r="H667" s="46"/>
      <c r="I667" s="46"/>
      <c r="J667" s="46"/>
      <c r="K667" s="46"/>
      <c r="L667" s="51"/>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51"/>
      <c r="BB667" s="46"/>
      <c r="BC667" s="46"/>
      <c r="BD667" s="46"/>
      <c r="BE667" s="46"/>
      <c r="BF667" s="46"/>
      <c r="BG667" s="46"/>
      <c r="BH667" s="46"/>
      <c r="BI667" s="46"/>
      <c r="BJ667" s="46"/>
      <c r="BK667" s="46"/>
      <c r="BL667" s="46"/>
      <c r="BM667" s="46"/>
      <c r="BN667" s="46"/>
      <c r="BO667" s="46"/>
      <c r="BP667" s="46"/>
      <c r="BQ667" s="46"/>
      <c r="BR667" s="46"/>
      <c r="BS667" s="46"/>
      <c r="BT667" s="46"/>
      <c r="BU667" s="46"/>
      <c r="BV667" s="46"/>
      <c r="BW667" s="46"/>
      <c r="BX667" s="46"/>
      <c r="BY667" s="46"/>
      <c r="BZ667" s="46"/>
      <c r="CA667" s="46"/>
      <c r="CB667" s="46"/>
      <c r="CC667" s="46"/>
      <c r="CD667" s="46"/>
      <c r="CE667" s="46"/>
      <c r="CF667" s="46"/>
      <c r="CG667" s="46"/>
      <c r="CH667" s="46"/>
      <c r="CI667" s="46"/>
      <c r="CJ667" s="46"/>
      <c r="CK667" s="46"/>
      <c r="CL667" s="46"/>
      <c r="CM667" s="46"/>
      <c r="CN667" s="46"/>
    </row>
    <row r="668">
      <c r="A668" s="46"/>
      <c r="B668" s="46"/>
      <c r="C668" s="46"/>
      <c r="D668" s="46"/>
      <c r="E668" s="46"/>
      <c r="F668" s="46"/>
      <c r="G668" s="46"/>
      <c r="H668" s="46"/>
      <c r="I668" s="46"/>
      <c r="J668" s="46"/>
      <c r="K668" s="46"/>
      <c r="L668" s="51"/>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51"/>
      <c r="BB668" s="46"/>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6"/>
      <c r="BY668" s="46"/>
      <c r="BZ668" s="46"/>
      <c r="CA668" s="46"/>
      <c r="CB668" s="46"/>
      <c r="CC668" s="46"/>
      <c r="CD668" s="46"/>
      <c r="CE668" s="46"/>
      <c r="CF668" s="46"/>
      <c r="CG668" s="46"/>
      <c r="CH668" s="46"/>
      <c r="CI668" s="46"/>
      <c r="CJ668" s="46"/>
      <c r="CK668" s="46"/>
      <c r="CL668" s="46"/>
      <c r="CM668" s="46"/>
      <c r="CN668" s="46"/>
    </row>
    <row r="669">
      <c r="A669" s="46"/>
      <c r="B669" s="46"/>
      <c r="C669" s="46"/>
      <c r="D669" s="46"/>
      <c r="E669" s="46"/>
      <c r="F669" s="46"/>
      <c r="G669" s="46"/>
      <c r="H669" s="46"/>
      <c r="I669" s="46"/>
      <c r="J669" s="46"/>
      <c r="K669" s="46"/>
      <c r="L669" s="51"/>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51"/>
      <c r="BB669" s="46"/>
      <c r="BC669" s="46"/>
      <c r="BD669" s="46"/>
      <c r="BE669" s="46"/>
      <c r="BF669" s="46"/>
      <c r="BG669" s="46"/>
      <c r="BH669" s="46"/>
      <c r="BI669" s="46"/>
      <c r="BJ669" s="46"/>
      <c r="BK669" s="46"/>
      <c r="BL669" s="46"/>
      <c r="BM669" s="46"/>
      <c r="BN669" s="46"/>
      <c r="BO669" s="46"/>
      <c r="BP669" s="46"/>
      <c r="BQ669" s="46"/>
      <c r="BR669" s="46"/>
      <c r="BS669" s="46"/>
      <c r="BT669" s="46"/>
      <c r="BU669" s="46"/>
      <c r="BV669" s="46"/>
      <c r="BW669" s="46"/>
      <c r="BX669" s="46"/>
      <c r="BY669" s="46"/>
      <c r="BZ669" s="46"/>
      <c r="CA669" s="46"/>
      <c r="CB669" s="46"/>
      <c r="CC669" s="46"/>
      <c r="CD669" s="46"/>
      <c r="CE669" s="46"/>
      <c r="CF669" s="46"/>
      <c r="CG669" s="46"/>
      <c r="CH669" s="46"/>
      <c r="CI669" s="46"/>
      <c r="CJ669" s="46"/>
      <c r="CK669" s="46"/>
      <c r="CL669" s="46"/>
      <c r="CM669" s="46"/>
      <c r="CN669" s="46"/>
    </row>
    <row r="670">
      <c r="A670" s="46"/>
      <c r="B670" s="46"/>
      <c r="C670" s="46"/>
      <c r="D670" s="46"/>
      <c r="E670" s="46"/>
      <c r="F670" s="46"/>
      <c r="G670" s="46"/>
      <c r="H670" s="46"/>
      <c r="I670" s="46"/>
      <c r="J670" s="46"/>
      <c r="K670" s="46"/>
      <c r="L670" s="51"/>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51"/>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c r="CD670" s="46"/>
      <c r="CE670" s="46"/>
      <c r="CF670" s="46"/>
      <c r="CG670" s="46"/>
      <c r="CH670" s="46"/>
      <c r="CI670" s="46"/>
      <c r="CJ670" s="46"/>
      <c r="CK670" s="46"/>
      <c r="CL670" s="46"/>
      <c r="CM670" s="46"/>
      <c r="CN670" s="46"/>
    </row>
    <row r="671">
      <c r="A671" s="46"/>
      <c r="B671" s="46"/>
      <c r="C671" s="46"/>
      <c r="D671" s="46"/>
      <c r="E671" s="46"/>
      <c r="F671" s="46"/>
      <c r="G671" s="46"/>
      <c r="H671" s="46"/>
      <c r="I671" s="46"/>
      <c r="J671" s="46"/>
      <c r="K671" s="46"/>
      <c r="L671" s="51"/>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51"/>
      <c r="BB671" s="46"/>
      <c r="BC671" s="46"/>
      <c r="BD671" s="46"/>
      <c r="BE671" s="46"/>
      <c r="BF671" s="46"/>
      <c r="BG671" s="46"/>
      <c r="BH671" s="46"/>
      <c r="BI671" s="46"/>
      <c r="BJ671" s="46"/>
      <c r="BK671" s="46"/>
      <c r="BL671" s="46"/>
      <c r="BM671" s="46"/>
      <c r="BN671" s="46"/>
      <c r="BO671" s="46"/>
      <c r="BP671" s="46"/>
      <c r="BQ671" s="46"/>
      <c r="BR671" s="46"/>
      <c r="BS671" s="46"/>
      <c r="BT671" s="46"/>
      <c r="BU671" s="46"/>
      <c r="BV671" s="46"/>
      <c r="BW671" s="46"/>
      <c r="BX671" s="46"/>
      <c r="BY671" s="46"/>
      <c r="BZ671" s="46"/>
      <c r="CA671" s="46"/>
      <c r="CB671" s="46"/>
      <c r="CC671" s="46"/>
      <c r="CD671" s="46"/>
      <c r="CE671" s="46"/>
      <c r="CF671" s="46"/>
      <c r="CG671" s="46"/>
      <c r="CH671" s="46"/>
      <c r="CI671" s="46"/>
      <c r="CJ671" s="46"/>
      <c r="CK671" s="46"/>
      <c r="CL671" s="46"/>
      <c r="CM671" s="46"/>
      <c r="CN671" s="46"/>
    </row>
    <row r="672">
      <c r="A672" s="46"/>
      <c r="B672" s="46"/>
      <c r="C672" s="46"/>
      <c r="D672" s="46"/>
      <c r="E672" s="46"/>
      <c r="F672" s="46"/>
      <c r="G672" s="46"/>
      <c r="H672" s="46"/>
      <c r="I672" s="46"/>
      <c r="J672" s="46"/>
      <c r="K672" s="46"/>
      <c r="L672" s="51"/>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51"/>
      <c r="BB672" s="46"/>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6"/>
      <c r="BY672" s="46"/>
      <c r="BZ672" s="46"/>
      <c r="CA672" s="46"/>
      <c r="CB672" s="46"/>
      <c r="CC672" s="46"/>
      <c r="CD672" s="46"/>
      <c r="CE672" s="46"/>
      <c r="CF672" s="46"/>
      <c r="CG672" s="46"/>
      <c r="CH672" s="46"/>
      <c r="CI672" s="46"/>
      <c r="CJ672" s="46"/>
      <c r="CK672" s="46"/>
      <c r="CL672" s="46"/>
      <c r="CM672" s="46"/>
      <c r="CN672" s="46"/>
    </row>
    <row r="673">
      <c r="A673" s="46"/>
      <c r="B673" s="46"/>
      <c r="C673" s="46"/>
      <c r="D673" s="46"/>
      <c r="E673" s="46"/>
      <c r="F673" s="46"/>
      <c r="G673" s="46"/>
      <c r="H673" s="46"/>
      <c r="I673" s="46"/>
      <c r="J673" s="46"/>
      <c r="K673" s="46"/>
      <c r="L673" s="51"/>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51"/>
      <c r="BB673" s="46"/>
      <c r="BC673" s="46"/>
      <c r="BD673" s="46"/>
      <c r="BE673" s="46"/>
      <c r="BF673" s="46"/>
      <c r="BG673" s="46"/>
      <c r="BH673" s="46"/>
      <c r="BI673" s="46"/>
      <c r="BJ673" s="46"/>
      <c r="BK673" s="46"/>
      <c r="BL673" s="46"/>
      <c r="BM673" s="46"/>
      <c r="BN673" s="46"/>
      <c r="BO673" s="46"/>
      <c r="BP673" s="46"/>
      <c r="BQ673" s="46"/>
      <c r="BR673" s="46"/>
      <c r="BS673" s="46"/>
      <c r="BT673" s="46"/>
      <c r="BU673" s="46"/>
      <c r="BV673" s="46"/>
      <c r="BW673" s="46"/>
      <c r="BX673" s="46"/>
      <c r="BY673" s="46"/>
      <c r="BZ673" s="46"/>
      <c r="CA673" s="46"/>
      <c r="CB673" s="46"/>
      <c r="CC673" s="46"/>
      <c r="CD673" s="46"/>
      <c r="CE673" s="46"/>
      <c r="CF673" s="46"/>
      <c r="CG673" s="46"/>
      <c r="CH673" s="46"/>
      <c r="CI673" s="46"/>
      <c r="CJ673" s="46"/>
      <c r="CK673" s="46"/>
      <c r="CL673" s="46"/>
      <c r="CM673" s="46"/>
      <c r="CN673" s="46"/>
    </row>
    <row r="674">
      <c r="A674" s="46"/>
      <c r="B674" s="46"/>
      <c r="C674" s="46"/>
      <c r="D674" s="46"/>
      <c r="E674" s="46"/>
      <c r="F674" s="46"/>
      <c r="G674" s="46"/>
      <c r="H674" s="46"/>
      <c r="I674" s="46"/>
      <c r="J674" s="46"/>
      <c r="K674" s="46"/>
      <c r="L674" s="51"/>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51"/>
      <c r="BB674" s="46"/>
      <c r="BC674" s="46"/>
      <c r="BD674" s="46"/>
      <c r="BE674" s="46"/>
      <c r="BF674" s="46"/>
      <c r="BG674" s="46"/>
      <c r="BH674" s="46"/>
      <c r="BI674" s="46"/>
      <c r="BJ674" s="46"/>
      <c r="BK674" s="46"/>
      <c r="BL674" s="46"/>
      <c r="BM674" s="46"/>
      <c r="BN674" s="46"/>
      <c r="BO674" s="46"/>
      <c r="BP674" s="46"/>
      <c r="BQ674" s="46"/>
      <c r="BR674" s="46"/>
      <c r="BS674" s="46"/>
      <c r="BT674" s="46"/>
      <c r="BU674" s="46"/>
      <c r="BV674" s="46"/>
      <c r="BW674" s="46"/>
      <c r="BX674" s="46"/>
      <c r="BY674" s="46"/>
      <c r="BZ674" s="46"/>
      <c r="CA674" s="46"/>
      <c r="CB674" s="46"/>
      <c r="CC674" s="46"/>
      <c r="CD674" s="46"/>
      <c r="CE674" s="46"/>
      <c r="CF674" s="46"/>
      <c r="CG674" s="46"/>
      <c r="CH674" s="46"/>
      <c r="CI674" s="46"/>
      <c r="CJ674" s="46"/>
      <c r="CK674" s="46"/>
      <c r="CL674" s="46"/>
      <c r="CM674" s="46"/>
      <c r="CN674" s="46"/>
    </row>
    <row r="675">
      <c r="A675" s="46"/>
      <c r="B675" s="46"/>
      <c r="C675" s="46"/>
      <c r="D675" s="46"/>
      <c r="E675" s="46"/>
      <c r="F675" s="46"/>
      <c r="G675" s="46"/>
      <c r="H675" s="46"/>
      <c r="I675" s="46"/>
      <c r="J675" s="46"/>
      <c r="K675" s="46"/>
      <c r="L675" s="51"/>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51"/>
      <c r="BB675" s="46"/>
      <c r="BC675" s="46"/>
      <c r="BD675" s="46"/>
      <c r="BE675" s="46"/>
      <c r="BF675" s="46"/>
      <c r="BG675" s="46"/>
      <c r="BH675" s="46"/>
      <c r="BI675" s="46"/>
      <c r="BJ675" s="46"/>
      <c r="BK675" s="46"/>
      <c r="BL675" s="46"/>
      <c r="BM675" s="46"/>
      <c r="BN675" s="46"/>
      <c r="BO675" s="46"/>
      <c r="BP675" s="46"/>
      <c r="BQ675" s="46"/>
      <c r="BR675" s="46"/>
      <c r="BS675" s="46"/>
      <c r="BT675" s="46"/>
      <c r="BU675" s="46"/>
      <c r="BV675" s="46"/>
      <c r="BW675" s="46"/>
      <c r="BX675" s="46"/>
      <c r="BY675" s="46"/>
      <c r="BZ675" s="46"/>
      <c r="CA675" s="46"/>
      <c r="CB675" s="46"/>
      <c r="CC675" s="46"/>
      <c r="CD675" s="46"/>
      <c r="CE675" s="46"/>
      <c r="CF675" s="46"/>
      <c r="CG675" s="46"/>
      <c r="CH675" s="46"/>
      <c r="CI675" s="46"/>
      <c r="CJ675" s="46"/>
      <c r="CK675" s="46"/>
      <c r="CL675" s="46"/>
      <c r="CM675" s="46"/>
      <c r="CN675" s="46"/>
    </row>
    <row r="676">
      <c r="A676" s="46"/>
      <c r="B676" s="46"/>
      <c r="C676" s="46"/>
      <c r="D676" s="46"/>
      <c r="E676" s="46"/>
      <c r="F676" s="46"/>
      <c r="G676" s="46"/>
      <c r="H676" s="46"/>
      <c r="I676" s="46"/>
      <c r="J676" s="46"/>
      <c r="K676" s="46"/>
      <c r="L676" s="51"/>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51"/>
      <c r="BB676" s="46"/>
      <c r="BC676" s="46"/>
      <c r="BD676" s="46"/>
      <c r="BE676" s="46"/>
      <c r="BF676" s="46"/>
      <c r="BG676" s="46"/>
      <c r="BH676" s="46"/>
      <c r="BI676" s="46"/>
      <c r="BJ676" s="46"/>
      <c r="BK676" s="46"/>
      <c r="BL676" s="46"/>
      <c r="BM676" s="46"/>
      <c r="BN676" s="46"/>
      <c r="BO676" s="46"/>
      <c r="BP676" s="46"/>
      <c r="BQ676" s="46"/>
      <c r="BR676" s="46"/>
      <c r="BS676" s="46"/>
      <c r="BT676" s="46"/>
      <c r="BU676" s="46"/>
      <c r="BV676" s="46"/>
      <c r="BW676" s="46"/>
      <c r="BX676" s="46"/>
      <c r="BY676" s="46"/>
      <c r="BZ676" s="46"/>
      <c r="CA676" s="46"/>
      <c r="CB676" s="46"/>
      <c r="CC676" s="46"/>
      <c r="CD676" s="46"/>
      <c r="CE676" s="46"/>
      <c r="CF676" s="46"/>
      <c r="CG676" s="46"/>
      <c r="CH676" s="46"/>
      <c r="CI676" s="46"/>
      <c r="CJ676" s="46"/>
      <c r="CK676" s="46"/>
      <c r="CL676" s="46"/>
      <c r="CM676" s="46"/>
      <c r="CN676" s="46"/>
    </row>
    <row r="677">
      <c r="A677" s="46"/>
      <c r="B677" s="46"/>
      <c r="C677" s="46"/>
      <c r="D677" s="46"/>
      <c r="E677" s="46"/>
      <c r="F677" s="46"/>
      <c r="G677" s="46"/>
      <c r="H677" s="46"/>
      <c r="I677" s="46"/>
      <c r="J677" s="46"/>
      <c r="K677" s="46"/>
      <c r="L677" s="51"/>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51"/>
      <c r="BB677" s="46"/>
      <c r="BC677" s="46"/>
      <c r="BD677" s="46"/>
      <c r="BE677" s="46"/>
      <c r="BF677" s="46"/>
      <c r="BG677" s="46"/>
      <c r="BH677" s="46"/>
      <c r="BI677" s="46"/>
      <c r="BJ677" s="46"/>
      <c r="BK677" s="46"/>
      <c r="BL677" s="46"/>
      <c r="BM677" s="46"/>
      <c r="BN677" s="46"/>
      <c r="BO677" s="46"/>
      <c r="BP677" s="46"/>
      <c r="BQ677" s="46"/>
      <c r="BR677" s="46"/>
      <c r="BS677" s="46"/>
      <c r="BT677" s="46"/>
      <c r="BU677" s="46"/>
      <c r="BV677" s="46"/>
      <c r="BW677" s="46"/>
      <c r="BX677" s="46"/>
      <c r="BY677" s="46"/>
      <c r="BZ677" s="46"/>
      <c r="CA677" s="46"/>
      <c r="CB677" s="46"/>
      <c r="CC677" s="46"/>
      <c r="CD677" s="46"/>
      <c r="CE677" s="46"/>
      <c r="CF677" s="46"/>
      <c r="CG677" s="46"/>
      <c r="CH677" s="46"/>
      <c r="CI677" s="46"/>
      <c r="CJ677" s="46"/>
      <c r="CK677" s="46"/>
      <c r="CL677" s="46"/>
      <c r="CM677" s="46"/>
      <c r="CN677" s="46"/>
    </row>
    <row r="678">
      <c r="A678" s="46"/>
      <c r="B678" s="46"/>
      <c r="C678" s="46"/>
      <c r="D678" s="46"/>
      <c r="E678" s="46"/>
      <c r="F678" s="46"/>
      <c r="G678" s="46"/>
      <c r="H678" s="46"/>
      <c r="I678" s="46"/>
      <c r="J678" s="46"/>
      <c r="K678" s="46"/>
      <c r="L678" s="51"/>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51"/>
      <c r="BB678" s="46"/>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6"/>
      <c r="BY678" s="46"/>
      <c r="BZ678" s="46"/>
      <c r="CA678" s="46"/>
      <c r="CB678" s="46"/>
      <c r="CC678" s="46"/>
      <c r="CD678" s="46"/>
      <c r="CE678" s="46"/>
      <c r="CF678" s="46"/>
      <c r="CG678" s="46"/>
      <c r="CH678" s="46"/>
      <c r="CI678" s="46"/>
      <c r="CJ678" s="46"/>
      <c r="CK678" s="46"/>
      <c r="CL678" s="46"/>
      <c r="CM678" s="46"/>
      <c r="CN678" s="46"/>
    </row>
    <row r="679">
      <c r="A679" s="46"/>
      <c r="B679" s="46"/>
      <c r="C679" s="46"/>
      <c r="D679" s="46"/>
      <c r="E679" s="46"/>
      <c r="F679" s="46"/>
      <c r="G679" s="46"/>
      <c r="H679" s="46"/>
      <c r="I679" s="46"/>
      <c r="J679" s="46"/>
      <c r="K679" s="46"/>
      <c r="L679" s="51"/>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51"/>
      <c r="BB679" s="46"/>
      <c r="BC679" s="46"/>
      <c r="BD679" s="46"/>
      <c r="BE679" s="46"/>
      <c r="BF679" s="46"/>
      <c r="BG679" s="46"/>
      <c r="BH679" s="46"/>
      <c r="BI679" s="46"/>
      <c r="BJ679" s="46"/>
      <c r="BK679" s="46"/>
      <c r="BL679" s="46"/>
      <c r="BM679" s="46"/>
      <c r="BN679" s="46"/>
      <c r="BO679" s="46"/>
      <c r="BP679" s="46"/>
      <c r="BQ679" s="46"/>
      <c r="BR679" s="46"/>
      <c r="BS679" s="46"/>
      <c r="BT679" s="46"/>
      <c r="BU679" s="46"/>
      <c r="BV679" s="46"/>
      <c r="BW679" s="46"/>
      <c r="BX679" s="46"/>
      <c r="BY679" s="46"/>
      <c r="BZ679" s="46"/>
      <c r="CA679" s="46"/>
      <c r="CB679" s="46"/>
      <c r="CC679" s="46"/>
      <c r="CD679" s="46"/>
      <c r="CE679" s="46"/>
      <c r="CF679" s="46"/>
      <c r="CG679" s="46"/>
      <c r="CH679" s="46"/>
      <c r="CI679" s="46"/>
      <c r="CJ679" s="46"/>
      <c r="CK679" s="46"/>
      <c r="CL679" s="46"/>
      <c r="CM679" s="46"/>
      <c r="CN679" s="46"/>
    </row>
    <row r="680">
      <c r="A680" s="46"/>
      <c r="B680" s="46"/>
      <c r="C680" s="46"/>
      <c r="D680" s="46"/>
      <c r="E680" s="46"/>
      <c r="F680" s="46"/>
      <c r="G680" s="46"/>
      <c r="H680" s="46"/>
      <c r="I680" s="46"/>
      <c r="J680" s="46"/>
      <c r="K680" s="46"/>
      <c r="L680" s="51"/>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51"/>
      <c r="BB680" s="46"/>
      <c r="BC680" s="46"/>
      <c r="BD680" s="46"/>
      <c r="BE680" s="46"/>
      <c r="BF680" s="46"/>
      <c r="BG680" s="46"/>
      <c r="BH680" s="46"/>
      <c r="BI680" s="46"/>
      <c r="BJ680" s="46"/>
      <c r="BK680" s="46"/>
      <c r="BL680" s="46"/>
      <c r="BM680" s="46"/>
      <c r="BN680" s="46"/>
      <c r="BO680" s="46"/>
      <c r="BP680" s="46"/>
      <c r="BQ680" s="46"/>
      <c r="BR680" s="46"/>
      <c r="BS680" s="46"/>
      <c r="BT680" s="46"/>
      <c r="BU680" s="46"/>
      <c r="BV680" s="46"/>
      <c r="BW680" s="46"/>
      <c r="BX680" s="46"/>
      <c r="BY680" s="46"/>
      <c r="BZ680" s="46"/>
      <c r="CA680" s="46"/>
      <c r="CB680" s="46"/>
      <c r="CC680" s="46"/>
      <c r="CD680" s="46"/>
      <c r="CE680" s="46"/>
      <c r="CF680" s="46"/>
      <c r="CG680" s="46"/>
      <c r="CH680" s="46"/>
      <c r="CI680" s="46"/>
      <c r="CJ680" s="46"/>
      <c r="CK680" s="46"/>
      <c r="CL680" s="46"/>
      <c r="CM680" s="46"/>
      <c r="CN680" s="46"/>
    </row>
    <row r="681">
      <c r="A681" s="46"/>
      <c r="B681" s="46"/>
      <c r="C681" s="46"/>
      <c r="D681" s="46"/>
      <c r="E681" s="46"/>
      <c r="F681" s="46"/>
      <c r="G681" s="46"/>
      <c r="H681" s="46"/>
      <c r="I681" s="46"/>
      <c r="J681" s="46"/>
      <c r="K681" s="46"/>
      <c r="L681" s="51"/>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51"/>
      <c r="BB681" s="46"/>
      <c r="BC681" s="46"/>
      <c r="BD681" s="46"/>
      <c r="BE681" s="46"/>
      <c r="BF681" s="46"/>
      <c r="BG681" s="46"/>
      <c r="BH681" s="46"/>
      <c r="BI681" s="46"/>
      <c r="BJ681" s="46"/>
      <c r="BK681" s="46"/>
      <c r="BL681" s="46"/>
      <c r="BM681" s="46"/>
      <c r="BN681" s="46"/>
      <c r="BO681" s="46"/>
      <c r="BP681" s="46"/>
      <c r="BQ681" s="46"/>
      <c r="BR681" s="46"/>
      <c r="BS681" s="46"/>
      <c r="BT681" s="46"/>
      <c r="BU681" s="46"/>
      <c r="BV681" s="46"/>
      <c r="BW681" s="46"/>
      <c r="BX681" s="46"/>
      <c r="BY681" s="46"/>
      <c r="BZ681" s="46"/>
      <c r="CA681" s="46"/>
      <c r="CB681" s="46"/>
      <c r="CC681" s="46"/>
      <c r="CD681" s="46"/>
      <c r="CE681" s="46"/>
      <c r="CF681" s="46"/>
      <c r="CG681" s="46"/>
      <c r="CH681" s="46"/>
      <c r="CI681" s="46"/>
      <c r="CJ681" s="46"/>
      <c r="CK681" s="46"/>
      <c r="CL681" s="46"/>
      <c r="CM681" s="46"/>
      <c r="CN681" s="46"/>
    </row>
    <row r="682">
      <c r="A682" s="46"/>
      <c r="B682" s="46"/>
      <c r="C682" s="46"/>
      <c r="D682" s="46"/>
      <c r="E682" s="46"/>
      <c r="F682" s="46"/>
      <c r="G682" s="46"/>
      <c r="H682" s="46"/>
      <c r="I682" s="46"/>
      <c r="J682" s="46"/>
      <c r="K682" s="46"/>
      <c r="L682" s="51"/>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51"/>
      <c r="BB682" s="46"/>
      <c r="BC682" s="46"/>
      <c r="BD682" s="46"/>
      <c r="BE682" s="46"/>
      <c r="BF682" s="46"/>
      <c r="BG682" s="46"/>
      <c r="BH682" s="46"/>
      <c r="BI682" s="46"/>
      <c r="BJ682" s="46"/>
      <c r="BK682" s="46"/>
      <c r="BL682" s="46"/>
      <c r="BM682" s="46"/>
      <c r="BN682" s="46"/>
      <c r="BO682" s="46"/>
      <c r="BP682" s="46"/>
      <c r="BQ682" s="46"/>
      <c r="BR682" s="46"/>
      <c r="BS682" s="46"/>
      <c r="BT682" s="46"/>
      <c r="BU682" s="46"/>
      <c r="BV682" s="46"/>
      <c r="BW682" s="46"/>
      <c r="BX682" s="46"/>
      <c r="BY682" s="46"/>
      <c r="BZ682" s="46"/>
      <c r="CA682" s="46"/>
      <c r="CB682" s="46"/>
      <c r="CC682" s="46"/>
      <c r="CD682" s="46"/>
      <c r="CE682" s="46"/>
      <c r="CF682" s="46"/>
      <c r="CG682" s="46"/>
      <c r="CH682" s="46"/>
      <c r="CI682" s="46"/>
      <c r="CJ682" s="46"/>
      <c r="CK682" s="46"/>
      <c r="CL682" s="46"/>
      <c r="CM682" s="46"/>
      <c r="CN682" s="46"/>
    </row>
    <row r="683">
      <c r="A683" s="46"/>
      <c r="B683" s="46"/>
      <c r="C683" s="46"/>
      <c r="D683" s="46"/>
      <c r="E683" s="46"/>
      <c r="F683" s="46"/>
      <c r="G683" s="46"/>
      <c r="H683" s="46"/>
      <c r="I683" s="46"/>
      <c r="J683" s="46"/>
      <c r="K683" s="46"/>
      <c r="L683" s="51"/>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51"/>
      <c r="BB683" s="46"/>
      <c r="BC683" s="46"/>
      <c r="BD683" s="46"/>
      <c r="BE683" s="46"/>
      <c r="BF683" s="46"/>
      <c r="BG683" s="46"/>
      <c r="BH683" s="46"/>
      <c r="BI683" s="46"/>
      <c r="BJ683" s="46"/>
      <c r="BK683" s="46"/>
      <c r="BL683" s="46"/>
      <c r="BM683" s="46"/>
      <c r="BN683" s="46"/>
      <c r="BO683" s="46"/>
      <c r="BP683" s="46"/>
      <c r="BQ683" s="46"/>
      <c r="BR683" s="46"/>
      <c r="BS683" s="46"/>
      <c r="BT683" s="46"/>
      <c r="BU683" s="46"/>
      <c r="BV683" s="46"/>
      <c r="BW683" s="46"/>
      <c r="BX683" s="46"/>
      <c r="BY683" s="46"/>
      <c r="BZ683" s="46"/>
      <c r="CA683" s="46"/>
      <c r="CB683" s="46"/>
      <c r="CC683" s="46"/>
      <c r="CD683" s="46"/>
      <c r="CE683" s="46"/>
      <c r="CF683" s="46"/>
      <c r="CG683" s="46"/>
      <c r="CH683" s="46"/>
      <c r="CI683" s="46"/>
      <c r="CJ683" s="46"/>
      <c r="CK683" s="46"/>
      <c r="CL683" s="46"/>
      <c r="CM683" s="46"/>
      <c r="CN683" s="46"/>
    </row>
    <row r="684">
      <c r="A684" s="46"/>
      <c r="B684" s="46"/>
      <c r="C684" s="46"/>
      <c r="D684" s="46"/>
      <c r="E684" s="46"/>
      <c r="F684" s="46"/>
      <c r="G684" s="46"/>
      <c r="H684" s="46"/>
      <c r="I684" s="46"/>
      <c r="J684" s="46"/>
      <c r="K684" s="46"/>
      <c r="L684" s="51"/>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51"/>
      <c r="BB684" s="46"/>
      <c r="BC684" s="46"/>
      <c r="BD684" s="46"/>
      <c r="BE684" s="46"/>
      <c r="BF684" s="46"/>
      <c r="BG684" s="46"/>
      <c r="BH684" s="46"/>
      <c r="BI684" s="46"/>
      <c r="BJ684" s="46"/>
      <c r="BK684" s="46"/>
      <c r="BL684" s="46"/>
      <c r="BM684" s="46"/>
      <c r="BN684" s="46"/>
      <c r="BO684" s="46"/>
      <c r="BP684" s="46"/>
      <c r="BQ684" s="46"/>
      <c r="BR684" s="46"/>
      <c r="BS684" s="46"/>
      <c r="BT684" s="46"/>
      <c r="BU684" s="46"/>
      <c r="BV684" s="46"/>
      <c r="BW684" s="46"/>
      <c r="BX684" s="46"/>
      <c r="BY684" s="46"/>
      <c r="BZ684" s="46"/>
      <c r="CA684" s="46"/>
      <c r="CB684" s="46"/>
      <c r="CC684" s="46"/>
      <c r="CD684" s="46"/>
      <c r="CE684" s="46"/>
      <c r="CF684" s="46"/>
      <c r="CG684" s="46"/>
      <c r="CH684" s="46"/>
      <c r="CI684" s="46"/>
      <c r="CJ684" s="46"/>
      <c r="CK684" s="46"/>
      <c r="CL684" s="46"/>
      <c r="CM684" s="46"/>
      <c r="CN684" s="46"/>
    </row>
    <row r="685">
      <c r="A685" s="46"/>
      <c r="B685" s="46"/>
      <c r="C685" s="46"/>
      <c r="D685" s="46"/>
      <c r="E685" s="46"/>
      <c r="F685" s="46"/>
      <c r="G685" s="46"/>
      <c r="H685" s="46"/>
      <c r="I685" s="46"/>
      <c r="J685" s="46"/>
      <c r="K685" s="46"/>
      <c r="L685" s="51"/>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51"/>
      <c r="BB685" s="46"/>
      <c r="BC685" s="46"/>
      <c r="BD685" s="46"/>
      <c r="BE685" s="46"/>
      <c r="BF685" s="46"/>
      <c r="BG685" s="46"/>
      <c r="BH685" s="46"/>
      <c r="BI685" s="46"/>
      <c r="BJ685" s="46"/>
      <c r="BK685" s="46"/>
      <c r="BL685" s="46"/>
      <c r="BM685" s="46"/>
      <c r="BN685" s="46"/>
      <c r="BO685" s="46"/>
      <c r="BP685" s="46"/>
      <c r="BQ685" s="46"/>
      <c r="BR685" s="46"/>
      <c r="BS685" s="46"/>
      <c r="BT685" s="46"/>
      <c r="BU685" s="46"/>
      <c r="BV685" s="46"/>
      <c r="BW685" s="46"/>
      <c r="BX685" s="46"/>
      <c r="BY685" s="46"/>
      <c r="BZ685" s="46"/>
      <c r="CA685" s="46"/>
      <c r="CB685" s="46"/>
      <c r="CC685" s="46"/>
      <c r="CD685" s="46"/>
      <c r="CE685" s="46"/>
      <c r="CF685" s="46"/>
      <c r="CG685" s="46"/>
      <c r="CH685" s="46"/>
      <c r="CI685" s="46"/>
      <c r="CJ685" s="46"/>
      <c r="CK685" s="46"/>
      <c r="CL685" s="46"/>
      <c r="CM685" s="46"/>
      <c r="CN685" s="46"/>
    </row>
    <row r="686">
      <c r="A686" s="46"/>
      <c r="B686" s="46"/>
      <c r="C686" s="46"/>
      <c r="D686" s="46"/>
      <c r="E686" s="46"/>
      <c r="F686" s="46"/>
      <c r="G686" s="46"/>
      <c r="H686" s="46"/>
      <c r="I686" s="46"/>
      <c r="J686" s="46"/>
      <c r="K686" s="46"/>
      <c r="L686" s="51"/>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51"/>
      <c r="BB686" s="46"/>
      <c r="BC686" s="46"/>
      <c r="BD686" s="46"/>
      <c r="BE686" s="46"/>
      <c r="BF686" s="46"/>
      <c r="BG686" s="46"/>
      <c r="BH686" s="46"/>
      <c r="BI686" s="46"/>
      <c r="BJ686" s="46"/>
      <c r="BK686" s="46"/>
      <c r="BL686" s="46"/>
      <c r="BM686" s="46"/>
      <c r="BN686" s="46"/>
      <c r="BO686" s="46"/>
      <c r="BP686" s="46"/>
      <c r="BQ686" s="46"/>
      <c r="BR686" s="46"/>
      <c r="BS686" s="46"/>
      <c r="BT686" s="46"/>
      <c r="BU686" s="46"/>
      <c r="BV686" s="46"/>
      <c r="BW686" s="46"/>
      <c r="BX686" s="46"/>
      <c r="BY686" s="46"/>
      <c r="BZ686" s="46"/>
      <c r="CA686" s="46"/>
      <c r="CB686" s="46"/>
      <c r="CC686" s="46"/>
      <c r="CD686" s="46"/>
      <c r="CE686" s="46"/>
      <c r="CF686" s="46"/>
      <c r="CG686" s="46"/>
      <c r="CH686" s="46"/>
      <c r="CI686" s="46"/>
      <c r="CJ686" s="46"/>
      <c r="CK686" s="46"/>
      <c r="CL686" s="46"/>
      <c r="CM686" s="46"/>
      <c r="CN686" s="46"/>
    </row>
    <row r="687">
      <c r="A687" s="46"/>
      <c r="B687" s="46"/>
      <c r="C687" s="46"/>
      <c r="D687" s="46"/>
      <c r="E687" s="46"/>
      <c r="F687" s="46"/>
      <c r="G687" s="46"/>
      <c r="H687" s="46"/>
      <c r="I687" s="46"/>
      <c r="J687" s="46"/>
      <c r="K687" s="46"/>
      <c r="L687" s="51"/>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51"/>
      <c r="BB687" s="46"/>
      <c r="BC687" s="46"/>
      <c r="BD687" s="46"/>
      <c r="BE687" s="46"/>
      <c r="BF687" s="46"/>
      <c r="BG687" s="46"/>
      <c r="BH687" s="46"/>
      <c r="BI687" s="46"/>
      <c r="BJ687" s="46"/>
      <c r="BK687" s="46"/>
      <c r="BL687" s="46"/>
      <c r="BM687" s="46"/>
      <c r="BN687" s="46"/>
      <c r="BO687" s="46"/>
      <c r="BP687" s="46"/>
      <c r="BQ687" s="46"/>
      <c r="BR687" s="46"/>
      <c r="BS687" s="46"/>
      <c r="BT687" s="46"/>
      <c r="BU687" s="46"/>
      <c r="BV687" s="46"/>
      <c r="BW687" s="46"/>
      <c r="BX687" s="46"/>
      <c r="BY687" s="46"/>
      <c r="BZ687" s="46"/>
      <c r="CA687" s="46"/>
      <c r="CB687" s="46"/>
      <c r="CC687" s="46"/>
      <c r="CD687" s="46"/>
      <c r="CE687" s="46"/>
      <c r="CF687" s="46"/>
      <c r="CG687" s="46"/>
      <c r="CH687" s="46"/>
      <c r="CI687" s="46"/>
      <c r="CJ687" s="46"/>
      <c r="CK687" s="46"/>
      <c r="CL687" s="46"/>
      <c r="CM687" s="46"/>
      <c r="CN687" s="46"/>
    </row>
    <row r="688">
      <c r="A688" s="46"/>
      <c r="B688" s="46"/>
      <c r="C688" s="46"/>
      <c r="D688" s="46"/>
      <c r="E688" s="46"/>
      <c r="F688" s="46"/>
      <c r="G688" s="46"/>
      <c r="H688" s="46"/>
      <c r="I688" s="46"/>
      <c r="J688" s="46"/>
      <c r="K688" s="46"/>
      <c r="L688" s="51"/>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51"/>
      <c r="BB688" s="46"/>
      <c r="BC688" s="46"/>
      <c r="BD688" s="46"/>
      <c r="BE688" s="46"/>
      <c r="BF688" s="46"/>
      <c r="BG688" s="46"/>
      <c r="BH688" s="46"/>
      <c r="BI688" s="46"/>
      <c r="BJ688" s="46"/>
      <c r="BK688" s="46"/>
      <c r="BL688" s="46"/>
      <c r="BM688" s="46"/>
      <c r="BN688" s="46"/>
      <c r="BO688" s="46"/>
      <c r="BP688" s="46"/>
      <c r="BQ688" s="46"/>
      <c r="BR688" s="46"/>
      <c r="BS688" s="46"/>
      <c r="BT688" s="46"/>
      <c r="BU688" s="46"/>
      <c r="BV688" s="46"/>
      <c r="BW688" s="46"/>
      <c r="BX688" s="46"/>
      <c r="BY688" s="46"/>
      <c r="BZ688" s="46"/>
      <c r="CA688" s="46"/>
      <c r="CB688" s="46"/>
      <c r="CC688" s="46"/>
      <c r="CD688" s="46"/>
      <c r="CE688" s="46"/>
      <c r="CF688" s="46"/>
      <c r="CG688" s="46"/>
      <c r="CH688" s="46"/>
      <c r="CI688" s="46"/>
      <c r="CJ688" s="46"/>
      <c r="CK688" s="46"/>
      <c r="CL688" s="46"/>
      <c r="CM688" s="46"/>
      <c r="CN688" s="46"/>
    </row>
    <row r="689">
      <c r="A689" s="46"/>
      <c r="B689" s="46"/>
      <c r="C689" s="46"/>
      <c r="D689" s="46"/>
      <c r="E689" s="46"/>
      <c r="F689" s="46"/>
      <c r="G689" s="46"/>
      <c r="H689" s="46"/>
      <c r="I689" s="46"/>
      <c r="J689" s="46"/>
      <c r="K689" s="46"/>
      <c r="L689" s="51"/>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51"/>
      <c r="BB689" s="46"/>
      <c r="BC689" s="46"/>
      <c r="BD689" s="46"/>
      <c r="BE689" s="46"/>
      <c r="BF689" s="46"/>
      <c r="BG689" s="46"/>
      <c r="BH689" s="46"/>
      <c r="BI689" s="46"/>
      <c r="BJ689" s="46"/>
      <c r="BK689" s="46"/>
      <c r="BL689" s="46"/>
      <c r="BM689" s="46"/>
      <c r="BN689" s="46"/>
      <c r="BO689" s="46"/>
      <c r="BP689" s="46"/>
      <c r="BQ689" s="46"/>
      <c r="BR689" s="46"/>
      <c r="BS689" s="46"/>
      <c r="BT689" s="46"/>
      <c r="BU689" s="46"/>
      <c r="BV689" s="46"/>
      <c r="BW689" s="46"/>
      <c r="BX689" s="46"/>
      <c r="BY689" s="46"/>
      <c r="BZ689" s="46"/>
      <c r="CA689" s="46"/>
      <c r="CB689" s="46"/>
      <c r="CC689" s="46"/>
      <c r="CD689" s="46"/>
      <c r="CE689" s="46"/>
      <c r="CF689" s="46"/>
      <c r="CG689" s="46"/>
      <c r="CH689" s="46"/>
      <c r="CI689" s="46"/>
      <c r="CJ689" s="46"/>
      <c r="CK689" s="46"/>
      <c r="CL689" s="46"/>
      <c r="CM689" s="46"/>
      <c r="CN689" s="46"/>
    </row>
    <row r="690">
      <c r="A690" s="46"/>
      <c r="B690" s="46"/>
      <c r="C690" s="46"/>
      <c r="D690" s="46"/>
      <c r="E690" s="46"/>
      <c r="F690" s="46"/>
      <c r="G690" s="46"/>
      <c r="H690" s="46"/>
      <c r="I690" s="46"/>
      <c r="J690" s="46"/>
      <c r="K690" s="46"/>
      <c r="L690" s="51"/>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51"/>
      <c r="BB690" s="46"/>
      <c r="BC690" s="46"/>
      <c r="BD690" s="46"/>
      <c r="BE690" s="46"/>
      <c r="BF690" s="46"/>
      <c r="BG690" s="46"/>
      <c r="BH690" s="46"/>
      <c r="BI690" s="46"/>
      <c r="BJ690" s="46"/>
      <c r="BK690" s="46"/>
      <c r="BL690" s="46"/>
      <c r="BM690" s="46"/>
      <c r="BN690" s="46"/>
      <c r="BO690" s="46"/>
      <c r="BP690" s="46"/>
      <c r="BQ690" s="46"/>
      <c r="BR690" s="46"/>
      <c r="BS690" s="46"/>
      <c r="BT690" s="46"/>
      <c r="BU690" s="46"/>
      <c r="BV690" s="46"/>
      <c r="BW690" s="46"/>
      <c r="BX690" s="46"/>
      <c r="BY690" s="46"/>
      <c r="BZ690" s="46"/>
      <c r="CA690" s="46"/>
      <c r="CB690" s="46"/>
      <c r="CC690" s="46"/>
      <c r="CD690" s="46"/>
      <c r="CE690" s="46"/>
      <c r="CF690" s="46"/>
      <c r="CG690" s="46"/>
      <c r="CH690" s="46"/>
      <c r="CI690" s="46"/>
      <c r="CJ690" s="46"/>
      <c r="CK690" s="46"/>
      <c r="CL690" s="46"/>
      <c r="CM690" s="46"/>
      <c r="CN690" s="46"/>
    </row>
    <row r="691">
      <c r="A691" s="46"/>
      <c r="B691" s="46"/>
      <c r="C691" s="46"/>
      <c r="D691" s="46"/>
      <c r="E691" s="46"/>
      <c r="F691" s="46"/>
      <c r="G691" s="46"/>
      <c r="H691" s="46"/>
      <c r="I691" s="46"/>
      <c r="J691" s="46"/>
      <c r="K691" s="46"/>
      <c r="L691" s="51"/>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51"/>
      <c r="BB691" s="46"/>
      <c r="BC691" s="46"/>
      <c r="BD691" s="46"/>
      <c r="BE691" s="46"/>
      <c r="BF691" s="46"/>
      <c r="BG691" s="46"/>
      <c r="BH691" s="46"/>
      <c r="BI691" s="46"/>
      <c r="BJ691" s="46"/>
      <c r="BK691" s="46"/>
      <c r="BL691" s="46"/>
      <c r="BM691" s="46"/>
      <c r="BN691" s="46"/>
      <c r="BO691" s="46"/>
      <c r="BP691" s="46"/>
      <c r="BQ691" s="46"/>
      <c r="BR691" s="46"/>
      <c r="BS691" s="46"/>
      <c r="BT691" s="46"/>
      <c r="BU691" s="46"/>
      <c r="BV691" s="46"/>
      <c r="BW691" s="46"/>
      <c r="BX691" s="46"/>
      <c r="BY691" s="46"/>
      <c r="BZ691" s="46"/>
      <c r="CA691" s="46"/>
      <c r="CB691" s="46"/>
      <c r="CC691" s="46"/>
      <c r="CD691" s="46"/>
      <c r="CE691" s="46"/>
      <c r="CF691" s="46"/>
      <c r="CG691" s="46"/>
      <c r="CH691" s="46"/>
      <c r="CI691" s="46"/>
      <c r="CJ691" s="46"/>
      <c r="CK691" s="46"/>
      <c r="CL691" s="46"/>
      <c r="CM691" s="46"/>
      <c r="CN691" s="46"/>
    </row>
    <row r="692">
      <c r="A692" s="46"/>
      <c r="B692" s="46"/>
      <c r="C692" s="46"/>
      <c r="D692" s="46"/>
      <c r="E692" s="46"/>
      <c r="F692" s="46"/>
      <c r="G692" s="46"/>
      <c r="H692" s="46"/>
      <c r="I692" s="46"/>
      <c r="J692" s="46"/>
      <c r="K692" s="46"/>
      <c r="L692" s="51"/>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51"/>
      <c r="BB692" s="46"/>
      <c r="BC692" s="46"/>
      <c r="BD692" s="46"/>
      <c r="BE692" s="46"/>
      <c r="BF692" s="46"/>
      <c r="BG692" s="46"/>
      <c r="BH692" s="46"/>
      <c r="BI692" s="46"/>
      <c r="BJ692" s="46"/>
      <c r="BK692" s="46"/>
      <c r="BL692" s="46"/>
      <c r="BM692" s="46"/>
      <c r="BN692" s="46"/>
      <c r="BO692" s="46"/>
      <c r="BP692" s="46"/>
      <c r="BQ692" s="46"/>
      <c r="BR692" s="46"/>
      <c r="BS692" s="46"/>
      <c r="BT692" s="46"/>
      <c r="BU692" s="46"/>
      <c r="BV692" s="46"/>
      <c r="BW692" s="46"/>
      <c r="BX692" s="46"/>
      <c r="BY692" s="46"/>
      <c r="BZ692" s="46"/>
      <c r="CA692" s="46"/>
      <c r="CB692" s="46"/>
      <c r="CC692" s="46"/>
      <c r="CD692" s="46"/>
      <c r="CE692" s="46"/>
      <c r="CF692" s="46"/>
      <c r="CG692" s="46"/>
      <c r="CH692" s="46"/>
      <c r="CI692" s="46"/>
      <c r="CJ692" s="46"/>
      <c r="CK692" s="46"/>
      <c r="CL692" s="46"/>
      <c r="CM692" s="46"/>
      <c r="CN692" s="46"/>
    </row>
    <row r="693">
      <c r="A693" s="46"/>
      <c r="B693" s="46"/>
      <c r="C693" s="46"/>
      <c r="D693" s="46"/>
      <c r="E693" s="46"/>
      <c r="F693" s="46"/>
      <c r="G693" s="46"/>
      <c r="H693" s="46"/>
      <c r="I693" s="46"/>
      <c r="J693" s="46"/>
      <c r="K693" s="46"/>
      <c r="L693" s="51"/>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51"/>
      <c r="BB693" s="46"/>
      <c r="BC693" s="46"/>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46"/>
      <c r="BZ693" s="46"/>
      <c r="CA693" s="46"/>
      <c r="CB693" s="46"/>
      <c r="CC693" s="46"/>
      <c r="CD693" s="46"/>
      <c r="CE693" s="46"/>
      <c r="CF693" s="46"/>
      <c r="CG693" s="46"/>
      <c r="CH693" s="46"/>
      <c r="CI693" s="46"/>
      <c r="CJ693" s="46"/>
      <c r="CK693" s="46"/>
      <c r="CL693" s="46"/>
      <c r="CM693" s="46"/>
      <c r="CN693" s="46"/>
    </row>
    <row r="694">
      <c r="A694" s="46"/>
      <c r="B694" s="46"/>
      <c r="C694" s="46"/>
      <c r="D694" s="46"/>
      <c r="E694" s="46"/>
      <c r="F694" s="46"/>
      <c r="G694" s="46"/>
      <c r="H694" s="46"/>
      <c r="I694" s="46"/>
      <c r="J694" s="46"/>
      <c r="K694" s="46"/>
      <c r="L694" s="51"/>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51"/>
      <c r="BB694" s="46"/>
      <c r="BC694" s="46"/>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6"/>
      <c r="CA694" s="46"/>
      <c r="CB694" s="46"/>
      <c r="CC694" s="46"/>
      <c r="CD694" s="46"/>
      <c r="CE694" s="46"/>
      <c r="CF694" s="46"/>
      <c r="CG694" s="46"/>
      <c r="CH694" s="46"/>
      <c r="CI694" s="46"/>
      <c r="CJ694" s="46"/>
      <c r="CK694" s="46"/>
      <c r="CL694" s="46"/>
      <c r="CM694" s="46"/>
      <c r="CN694" s="46"/>
    </row>
    <row r="695">
      <c r="A695" s="46"/>
      <c r="B695" s="46"/>
      <c r="C695" s="46"/>
      <c r="D695" s="46"/>
      <c r="E695" s="46"/>
      <c r="F695" s="46"/>
      <c r="G695" s="46"/>
      <c r="H695" s="46"/>
      <c r="I695" s="46"/>
      <c r="J695" s="46"/>
      <c r="K695" s="46"/>
      <c r="L695" s="51"/>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51"/>
      <c r="BB695" s="46"/>
      <c r="BC695" s="46"/>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6"/>
      <c r="CA695" s="46"/>
      <c r="CB695" s="46"/>
      <c r="CC695" s="46"/>
      <c r="CD695" s="46"/>
      <c r="CE695" s="46"/>
      <c r="CF695" s="46"/>
      <c r="CG695" s="46"/>
      <c r="CH695" s="46"/>
      <c r="CI695" s="46"/>
      <c r="CJ695" s="46"/>
      <c r="CK695" s="46"/>
      <c r="CL695" s="46"/>
      <c r="CM695" s="46"/>
      <c r="CN695" s="46"/>
    </row>
    <row r="696">
      <c r="A696" s="46"/>
      <c r="B696" s="46"/>
      <c r="C696" s="46"/>
      <c r="D696" s="46"/>
      <c r="E696" s="46"/>
      <c r="F696" s="46"/>
      <c r="G696" s="46"/>
      <c r="H696" s="46"/>
      <c r="I696" s="46"/>
      <c r="J696" s="46"/>
      <c r="K696" s="46"/>
      <c r="L696" s="51"/>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51"/>
      <c r="BB696" s="46"/>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6"/>
      <c r="CA696" s="46"/>
      <c r="CB696" s="46"/>
      <c r="CC696" s="46"/>
      <c r="CD696" s="46"/>
      <c r="CE696" s="46"/>
      <c r="CF696" s="46"/>
      <c r="CG696" s="46"/>
      <c r="CH696" s="46"/>
      <c r="CI696" s="46"/>
      <c r="CJ696" s="46"/>
      <c r="CK696" s="46"/>
      <c r="CL696" s="46"/>
      <c r="CM696" s="46"/>
      <c r="CN696" s="46"/>
    </row>
    <row r="697">
      <c r="A697" s="46"/>
      <c r="B697" s="46"/>
      <c r="C697" s="46"/>
      <c r="D697" s="46"/>
      <c r="E697" s="46"/>
      <c r="F697" s="46"/>
      <c r="G697" s="46"/>
      <c r="H697" s="46"/>
      <c r="I697" s="46"/>
      <c r="J697" s="46"/>
      <c r="K697" s="46"/>
      <c r="L697" s="51"/>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51"/>
      <c r="BB697" s="46"/>
      <c r="BC697" s="46"/>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46"/>
      <c r="BZ697" s="46"/>
      <c r="CA697" s="46"/>
      <c r="CB697" s="46"/>
      <c r="CC697" s="46"/>
      <c r="CD697" s="46"/>
      <c r="CE697" s="46"/>
      <c r="CF697" s="46"/>
      <c r="CG697" s="46"/>
      <c r="CH697" s="46"/>
      <c r="CI697" s="46"/>
      <c r="CJ697" s="46"/>
      <c r="CK697" s="46"/>
      <c r="CL697" s="46"/>
      <c r="CM697" s="46"/>
      <c r="CN697" s="46"/>
    </row>
    <row r="698">
      <c r="A698" s="46"/>
      <c r="B698" s="46"/>
      <c r="C698" s="46"/>
      <c r="D698" s="46"/>
      <c r="E698" s="46"/>
      <c r="F698" s="46"/>
      <c r="G698" s="46"/>
      <c r="H698" s="46"/>
      <c r="I698" s="46"/>
      <c r="J698" s="46"/>
      <c r="K698" s="46"/>
      <c r="L698" s="51"/>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51"/>
      <c r="BB698" s="46"/>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6"/>
      <c r="CA698" s="46"/>
      <c r="CB698" s="46"/>
      <c r="CC698" s="46"/>
      <c r="CD698" s="46"/>
      <c r="CE698" s="46"/>
      <c r="CF698" s="46"/>
      <c r="CG698" s="46"/>
      <c r="CH698" s="46"/>
      <c r="CI698" s="46"/>
      <c r="CJ698" s="46"/>
      <c r="CK698" s="46"/>
      <c r="CL698" s="46"/>
      <c r="CM698" s="46"/>
      <c r="CN698" s="46"/>
    </row>
    <row r="699">
      <c r="A699" s="46"/>
      <c r="B699" s="46"/>
      <c r="C699" s="46"/>
      <c r="D699" s="46"/>
      <c r="E699" s="46"/>
      <c r="F699" s="46"/>
      <c r="G699" s="46"/>
      <c r="H699" s="46"/>
      <c r="I699" s="46"/>
      <c r="J699" s="46"/>
      <c r="K699" s="46"/>
      <c r="L699" s="51"/>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51"/>
      <c r="BB699" s="46"/>
      <c r="BC699" s="46"/>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6"/>
      <c r="CA699" s="46"/>
      <c r="CB699" s="46"/>
      <c r="CC699" s="46"/>
      <c r="CD699" s="46"/>
      <c r="CE699" s="46"/>
      <c r="CF699" s="46"/>
      <c r="CG699" s="46"/>
      <c r="CH699" s="46"/>
      <c r="CI699" s="46"/>
      <c r="CJ699" s="46"/>
      <c r="CK699" s="46"/>
      <c r="CL699" s="46"/>
      <c r="CM699" s="46"/>
      <c r="CN699" s="46"/>
    </row>
    <row r="700">
      <c r="A700" s="46"/>
      <c r="B700" s="46"/>
      <c r="C700" s="46"/>
      <c r="D700" s="46"/>
      <c r="E700" s="46"/>
      <c r="F700" s="46"/>
      <c r="G700" s="46"/>
      <c r="H700" s="46"/>
      <c r="I700" s="46"/>
      <c r="J700" s="46"/>
      <c r="K700" s="46"/>
      <c r="L700" s="51"/>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51"/>
      <c r="BB700" s="46"/>
      <c r="BC700" s="46"/>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6"/>
      <c r="CA700" s="46"/>
      <c r="CB700" s="46"/>
      <c r="CC700" s="46"/>
      <c r="CD700" s="46"/>
      <c r="CE700" s="46"/>
      <c r="CF700" s="46"/>
      <c r="CG700" s="46"/>
      <c r="CH700" s="46"/>
      <c r="CI700" s="46"/>
      <c r="CJ700" s="46"/>
      <c r="CK700" s="46"/>
      <c r="CL700" s="46"/>
      <c r="CM700" s="46"/>
      <c r="CN700" s="46"/>
    </row>
    <row r="701">
      <c r="A701" s="46"/>
      <c r="B701" s="46"/>
      <c r="C701" s="46"/>
      <c r="D701" s="46"/>
      <c r="E701" s="46"/>
      <c r="F701" s="46"/>
      <c r="G701" s="46"/>
      <c r="H701" s="46"/>
      <c r="I701" s="46"/>
      <c r="J701" s="46"/>
      <c r="K701" s="46"/>
      <c r="L701" s="51"/>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51"/>
      <c r="BB701" s="46"/>
      <c r="BC701" s="46"/>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6"/>
      <c r="CA701" s="46"/>
      <c r="CB701" s="46"/>
      <c r="CC701" s="46"/>
      <c r="CD701" s="46"/>
      <c r="CE701" s="46"/>
      <c r="CF701" s="46"/>
      <c r="CG701" s="46"/>
      <c r="CH701" s="46"/>
      <c r="CI701" s="46"/>
      <c r="CJ701" s="46"/>
      <c r="CK701" s="46"/>
      <c r="CL701" s="46"/>
      <c r="CM701" s="46"/>
      <c r="CN701" s="46"/>
    </row>
    <row r="702">
      <c r="A702" s="46"/>
      <c r="B702" s="46"/>
      <c r="C702" s="46"/>
      <c r="D702" s="46"/>
      <c r="E702" s="46"/>
      <c r="F702" s="46"/>
      <c r="G702" s="46"/>
      <c r="H702" s="46"/>
      <c r="I702" s="46"/>
      <c r="J702" s="46"/>
      <c r="K702" s="46"/>
      <c r="L702" s="51"/>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51"/>
      <c r="BB702" s="46"/>
      <c r="BC702" s="46"/>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6"/>
      <c r="CA702" s="46"/>
      <c r="CB702" s="46"/>
      <c r="CC702" s="46"/>
      <c r="CD702" s="46"/>
      <c r="CE702" s="46"/>
      <c r="CF702" s="46"/>
      <c r="CG702" s="46"/>
      <c r="CH702" s="46"/>
      <c r="CI702" s="46"/>
      <c r="CJ702" s="46"/>
      <c r="CK702" s="46"/>
      <c r="CL702" s="46"/>
      <c r="CM702" s="46"/>
      <c r="CN702" s="46"/>
    </row>
    <row r="703">
      <c r="A703" s="46"/>
      <c r="B703" s="46"/>
      <c r="C703" s="46"/>
      <c r="D703" s="46"/>
      <c r="E703" s="46"/>
      <c r="F703" s="46"/>
      <c r="G703" s="46"/>
      <c r="H703" s="46"/>
      <c r="I703" s="46"/>
      <c r="J703" s="46"/>
      <c r="K703" s="46"/>
      <c r="L703" s="51"/>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51"/>
      <c r="BB703" s="46"/>
      <c r="BC703" s="46"/>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6"/>
      <c r="CA703" s="46"/>
      <c r="CB703" s="46"/>
      <c r="CC703" s="46"/>
      <c r="CD703" s="46"/>
      <c r="CE703" s="46"/>
      <c r="CF703" s="46"/>
      <c r="CG703" s="46"/>
      <c r="CH703" s="46"/>
      <c r="CI703" s="46"/>
      <c r="CJ703" s="46"/>
      <c r="CK703" s="46"/>
      <c r="CL703" s="46"/>
      <c r="CM703" s="46"/>
      <c r="CN703" s="46"/>
    </row>
    <row r="704">
      <c r="A704" s="46"/>
      <c r="B704" s="46"/>
      <c r="C704" s="46"/>
      <c r="D704" s="46"/>
      <c r="E704" s="46"/>
      <c r="F704" s="46"/>
      <c r="G704" s="46"/>
      <c r="H704" s="46"/>
      <c r="I704" s="46"/>
      <c r="J704" s="46"/>
      <c r="K704" s="46"/>
      <c r="L704" s="51"/>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51"/>
      <c r="BB704" s="46"/>
      <c r="BC704" s="46"/>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6"/>
      <c r="CA704" s="46"/>
      <c r="CB704" s="46"/>
      <c r="CC704" s="46"/>
      <c r="CD704" s="46"/>
      <c r="CE704" s="46"/>
      <c r="CF704" s="46"/>
      <c r="CG704" s="46"/>
      <c r="CH704" s="46"/>
      <c r="CI704" s="46"/>
      <c r="CJ704" s="46"/>
      <c r="CK704" s="46"/>
      <c r="CL704" s="46"/>
      <c r="CM704" s="46"/>
      <c r="CN704" s="46"/>
    </row>
    <row r="705">
      <c r="A705" s="46"/>
      <c r="B705" s="46"/>
      <c r="C705" s="46"/>
      <c r="D705" s="46"/>
      <c r="E705" s="46"/>
      <c r="F705" s="46"/>
      <c r="G705" s="46"/>
      <c r="H705" s="46"/>
      <c r="I705" s="46"/>
      <c r="J705" s="46"/>
      <c r="K705" s="46"/>
      <c r="L705" s="51"/>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51"/>
      <c r="BB705" s="46"/>
      <c r="BC705" s="46"/>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6"/>
      <c r="CA705" s="46"/>
      <c r="CB705" s="46"/>
      <c r="CC705" s="46"/>
      <c r="CD705" s="46"/>
      <c r="CE705" s="46"/>
      <c r="CF705" s="46"/>
      <c r="CG705" s="46"/>
      <c r="CH705" s="46"/>
      <c r="CI705" s="46"/>
      <c r="CJ705" s="46"/>
      <c r="CK705" s="46"/>
      <c r="CL705" s="46"/>
      <c r="CM705" s="46"/>
      <c r="CN705" s="46"/>
    </row>
    <row r="706">
      <c r="A706" s="46"/>
      <c r="B706" s="46"/>
      <c r="C706" s="46"/>
      <c r="D706" s="46"/>
      <c r="E706" s="46"/>
      <c r="F706" s="46"/>
      <c r="G706" s="46"/>
      <c r="H706" s="46"/>
      <c r="I706" s="46"/>
      <c r="J706" s="46"/>
      <c r="K706" s="46"/>
      <c r="L706" s="51"/>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51"/>
      <c r="BB706" s="46"/>
      <c r="BC706" s="46"/>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6"/>
      <c r="CA706" s="46"/>
      <c r="CB706" s="46"/>
      <c r="CC706" s="46"/>
      <c r="CD706" s="46"/>
      <c r="CE706" s="46"/>
      <c r="CF706" s="46"/>
      <c r="CG706" s="46"/>
      <c r="CH706" s="46"/>
      <c r="CI706" s="46"/>
      <c r="CJ706" s="46"/>
      <c r="CK706" s="46"/>
      <c r="CL706" s="46"/>
      <c r="CM706" s="46"/>
      <c r="CN706" s="46"/>
    </row>
    <row r="707">
      <c r="A707" s="46"/>
      <c r="B707" s="46"/>
      <c r="C707" s="46"/>
      <c r="D707" s="46"/>
      <c r="E707" s="46"/>
      <c r="F707" s="46"/>
      <c r="G707" s="46"/>
      <c r="H707" s="46"/>
      <c r="I707" s="46"/>
      <c r="J707" s="46"/>
      <c r="K707" s="46"/>
      <c r="L707" s="51"/>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51"/>
      <c r="BB707" s="46"/>
      <c r="BC707" s="46"/>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6"/>
      <c r="CA707" s="46"/>
      <c r="CB707" s="46"/>
      <c r="CC707" s="46"/>
      <c r="CD707" s="46"/>
      <c r="CE707" s="46"/>
      <c r="CF707" s="46"/>
      <c r="CG707" s="46"/>
      <c r="CH707" s="46"/>
      <c r="CI707" s="46"/>
      <c r="CJ707" s="46"/>
      <c r="CK707" s="46"/>
      <c r="CL707" s="46"/>
      <c r="CM707" s="46"/>
      <c r="CN707" s="46"/>
    </row>
    <row r="708">
      <c r="A708" s="46"/>
      <c r="B708" s="46"/>
      <c r="C708" s="46"/>
      <c r="D708" s="46"/>
      <c r="E708" s="46"/>
      <c r="F708" s="46"/>
      <c r="G708" s="46"/>
      <c r="H708" s="46"/>
      <c r="I708" s="46"/>
      <c r="J708" s="46"/>
      <c r="K708" s="46"/>
      <c r="L708" s="51"/>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51"/>
      <c r="BB708" s="46"/>
      <c r="BC708" s="46"/>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6"/>
      <c r="CA708" s="46"/>
      <c r="CB708" s="46"/>
      <c r="CC708" s="46"/>
      <c r="CD708" s="46"/>
      <c r="CE708" s="46"/>
      <c r="CF708" s="46"/>
      <c r="CG708" s="46"/>
      <c r="CH708" s="46"/>
      <c r="CI708" s="46"/>
      <c r="CJ708" s="46"/>
      <c r="CK708" s="46"/>
      <c r="CL708" s="46"/>
      <c r="CM708" s="46"/>
      <c r="CN708" s="46"/>
    </row>
    <row r="709">
      <c r="A709" s="46"/>
      <c r="B709" s="46"/>
      <c r="C709" s="46"/>
      <c r="D709" s="46"/>
      <c r="E709" s="46"/>
      <c r="F709" s="46"/>
      <c r="G709" s="46"/>
      <c r="H709" s="46"/>
      <c r="I709" s="46"/>
      <c r="J709" s="46"/>
      <c r="K709" s="46"/>
      <c r="L709" s="51"/>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51"/>
      <c r="BB709" s="46"/>
      <c r="BC709" s="46"/>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6"/>
      <c r="CA709" s="46"/>
      <c r="CB709" s="46"/>
      <c r="CC709" s="46"/>
      <c r="CD709" s="46"/>
      <c r="CE709" s="46"/>
      <c r="CF709" s="46"/>
      <c r="CG709" s="46"/>
      <c r="CH709" s="46"/>
      <c r="CI709" s="46"/>
      <c r="CJ709" s="46"/>
      <c r="CK709" s="46"/>
      <c r="CL709" s="46"/>
      <c r="CM709" s="46"/>
      <c r="CN709" s="46"/>
    </row>
    <row r="710">
      <c r="A710" s="46"/>
      <c r="B710" s="46"/>
      <c r="C710" s="46"/>
      <c r="D710" s="46"/>
      <c r="E710" s="46"/>
      <c r="F710" s="46"/>
      <c r="G710" s="46"/>
      <c r="H710" s="46"/>
      <c r="I710" s="46"/>
      <c r="J710" s="46"/>
      <c r="K710" s="46"/>
      <c r="L710" s="51"/>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51"/>
      <c r="BB710" s="46"/>
      <c r="BC710" s="46"/>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6"/>
      <c r="CA710" s="46"/>
      <c r="CB710" s="46"/>
      <c r="CC710" s="46"/>
      <c r="CD710" s="46"/>
      <c r="CE710" s="46"/>
      <c r="CF710" s="46"/>
      <c r="CG710" s="46"/>
      <c r="CH710" s="46"/>
      <c r="CI710" s="46"/>
      <c r="CJ710" s="46"/>
      <c r="CK710" s="46"/>
      <c r="CL710" s="46"/>
      <c r="CM710" s="46"/>
      <c r="CN710" s="46"/>
    </row>
    <row r="711">
      <c r="A711" s="46"/>
      <c r="B711" s="46"/>
      <c r="C711" s="46"/>
      <c r="D711" s="46"/>
      <c r="E711" s="46"/>
      <c r="F711" s="46"/>
      <c r="G711" s="46"/>
      <c r="H711" s="46"/>
      <c r="I711" s="46"/>
      <c r="J711" s="46"/>
      <c r="K711" s="46"/>
      <c r="L711" s="51"/>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51"/>
      <c r="BB711" s="46"/>
      <c r="BC711" s="46"/>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6"/>
      <c r="CA711" s="46"/>
      <c r="CB711" s="46"/>
      <c r="CC711" s="46"/>
      <c r="CD711" s="46"/>
      <c r="CE711" s="46"/>
      <c r="CF711" s="46"/>
      <c r="CG711" s="46"/>
      <c r="CH711" s="46"/>
      <c r="CI711" s="46"/>
      <c r="CJ711" s="46"/>
      <c r="CK711" s="46"/>
      <c r="CL711" s="46"/>
      <c r="CM711" s="46"/>
      <c r="CN711" s="46"/>
    </row>
    <row r="712">
      <c r="A712" s="46"/>
      <c r="B712" s="46"/>
      <c r="C712" s="46"/>
      <c r="D712" s="46"/>
      <c r="E712" s="46"/>
      <c r="F712" s="46"/>
      <c r="G712" s="46"/>
      <c r="H712" s="46"/>
      <c r="I712" s="46"/>
      <c r="J712" s="46"/>
      <c r="K712" s="46"/>
      <c r="L712" s="51"/>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51"/>
      <c r="BB712" s="46"/>
      <c r="BC712" s="46"/>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6"/>
      <c r="CA712" s="46"/>
      <c r="CB712" s="46"/>
      <c r="CC712" s="46"/>
      <c r="CD712" s="46"/>
      <c r="CE712" s="46"/>
      <c r="CF712" s="46"/>
      <c r="CG712" s="46"/>
      <c r="CH712" s="46"/>
      <c r="CI712" s="46"/>
      <c r="CJ712" s="46"/>
      <c r="CK712" s="46"/>
      <c r="CL712" s="46"/>
      <c r="CM712" s="46"/>
      <c r="CN712" s="46"/>
    </row>
    <row r="713">
      <c r="A713" s="46"/>
      <c r="B713" s="46"/>
      <c r="C713" s="46"/>
      <c r="D713" s="46"/>
      <c r="E713" s="46"/>
      <c r="F713" s="46"/>
      <c r="G713" s="46"/>
      <c r="H713" s="46"/>
      <c r="I713" s="46"/>
      <c r="J713" s="46"/>
      <c r="K713" s="46"/>
      <c r="L713" s="51"/>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51"/>
      <c r="BB713" s="46"/>
      <c r="BC713" s="46"/>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6"/>
      <c r="CA713" s="46"/>
      <c r="CB713" s="46"/>
      <c r="CC713" s="46"/>
      <c r="CD713" s="46"/>
      <c r="CE713" s="46"/>
      <c r="CF713" s="46"/>
      <c r="CG713" s="46"/>
      <c r="CH713" s="46"/>
      <c r="CI713" s="46"/>
      <c r="CJ713" s="46"/>
      <c r="CK713" s="46"/>
      <c r="CL713" s="46"/>
      <c r="CM713" s="46"/>
      <c r="CN713" s="46"/>
    </row>
    <row r="714">
      <c r="A714" s="46"/>
      <c r="B714" s="46"/>
      <c r="C714" s="46"/>
      <c r="D714" s="46"/>
      <c r="E714" s="46"/>
      <c r="F714" s="46"/>
      <c r="G714" s="46"/>
      <c r="H714" s="46"/>
      <c r="I714" s="46"/>
      <c r="J714" s="46"/>
      <c r="K714" s="46"/>
      <c r="L714" s="51"/>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51"/>
      <c r="BB714" s="46"/>
      <c r="BC714" s="46"/>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6"/>
      <c r="CA714" s="46"/>
      <c r="CB714" s="46"/>
      <c r="CC714" s="46"/>
      <c r="CD714" s="46"/>
      <c r="CE714" s="46"/>
      <c r="CF714" s="46"/>
      <c r="CG714" s="46"/>
      <c r="CH714" s="46"/>
      <c r="CI714" s="46"/>
      <c r="CJ714" s="46"/>
      <c r="CK714" s="46"/>
      <c r="CL714" s="46"/>
      <c r="CM714" s="46"/>
      <c r="CN714" s="46"/>
    </row>
    <row r="715">
      <c r="A715" s="46"/>
      <c r="B715" s="46"/>
      <c r="C715" s="46"/>
      <c r="D715" s="46"/>
      <c r="E715" s="46"/>
      <c r="F715" s="46"/>
      <c r="G715" s="46"/>
      <c r="H715" s="46"/>
      <c r="I715" s="46"/>
      <c r="J715" s="46"/>
      <c r="K715" s="46"/>
      <c r="L715" s="51"/>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51"/>
      <c r="BB715" s="46"/>
      <c r="BC715" s="46"/>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6"/>
      <c r="CA715" s="46"/>
      <c r="CB715" s="46"/>
      <c r="CC715" s="46"/>
      <c r="CD715" s="46"/>
      <c r="CE715" s="46"/>
      <c r="CF715" s="46"/>
      <c r="CG715" s="46"/>
      <c r="CH715" s="46"/>
      <c r="CI715" s="46"/>
      <c r="CJ715" s="46"/>
      <c r="CK715" s="46"/>
      <c r="CL715" s="46"/>
      <c r="CM715" s="46"/>
      <c r="CN715" s="46"/>
    </row>
    <row r="716">
      <c r="A716" s="46"/>
      <c r="B716" s="46"/>
      <c r="C716" s="46"/>
      <c r="D716" s="46"/>
      <c r="E716" s="46"/>
      <c r="F716" s="46"/>
      <c r="G716" s="46"/>
      <c r="H716" s="46"/>
      <c r="I716" s="46"/>
      <c r="J716" s="46"/>
      <c r="K716" s="46"/>
      <c r="L716" s="51"/>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51"/>
      <c r="BB716" s="46"/>
      <c r="BC716" s="46"/>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6"/>
      <c r="CA716" s="46"/>
      <c r="CB716" s="46"/>
      <c r="CC716" s="46"/>
      <c r="CD716" s="46"/>
      <c r="CE716" s="46"/>
      <c r="CF716" s="46"/>
      <c r="CG716" s="46"/>
      <c r="CH716" s="46"/>
      <c r="CI716" s="46"/>
      <c r="CJ716" s="46"/>
      <c r="CK716" s="46"/>
      <c r="CL716" s="46"/>
      <c r="CM716" s="46"/>
      <c r="CN716" s="46"/>
    </row>
    <row r="717">
      <c r="A717" s="46"/>
      <c r="B717" s="46"/>
      <c r="C717" s="46"/>
      <c r="D717" s="46"/>
      <c r="E717" s="46"/>
      <c r="F717" s="46"/>
      <c r="G717" s="46"/>
      <c r="H717" s="46"/>
      <c r="I717" s="46"/>
      <c r="J717" s="46"/>
      <c r="K717" s="46"/>
      <c r="L717" s="51"/>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51"/>
      <c r="BB717" s="46"/>
      <c r="BC717" s="46"/>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6"/>
      <c r="CA717" s="46"/>
      <c r="CB717" s="46"/>
      <c r="CC717" s="46"/>
      <c r="CD717" s="46"/>
      <c r="CE717" s="46"/>
      <c r="CF717" s="46"/>
      <c r="CG717" s="46"/>
      <c r="CH717" s="46"/>
      <c r="CI717" s="46"/>
      <c r="CJ717" s="46"/>
      <c r="CK717" s="46"/>
      <c r="CL717" s="46"/>
      <c r="CM717" s="46"/>
      <c r="CN717" s="46"/>
    </row>
    <row r="718">
      <c r="A718" s="46"/>
      <c r="B718" s="46"/>
      <c r="C718" s="46"/>
      <c r="D718" s="46"/>
      <c r="E718" s="46"/>
      <c r="F718" s="46"/>
      <c r="G718" s="46"/>
      <c r="H718" s="46"/>
      <c r="I718" s="46"/>
      <c r="J718" s="46"/>
      <c r="K718" s="46"/>
      <c r="L718" s="51"/>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51"/>
      <c r="BB718" s="46"/>
      <c r="BC718" s="46"/>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6"/>
      <c r="CA718" s="46"/>
      <c r="CB718" s="46"/>
      <c r="CC718" s="46"/>
      <c r="CD718" s="46"/>
      <c r="CE718" s="46"/>
      <c r="CF718" s="46"/>
      <c r="CG718" s="46"/>
      <c r="CH718" s="46"/>
      <c r="CI718" s="46"/>
      <c r="CJ718" s="46"/>
      <c r="CK718" s="46"/>
      <c r="CL718" s="46"/>
      <c r="CM718" s="46"/>
      <c r="CN718" s="46"/>
    </row>
    <row r="719">
      <c r="A719" s="46"/>
      <c r="B719" s="46"/>
      <c r="C719" s="46"/>
      <c r="D719" s="46"/>
      <c r="E719" s="46"/>
      <c r="F719" s="46"/>
      <c r="G719" s="46"/>
      <c r="H719" s="46"/>
      <c r="I719" s="46"/>
      <c r="J719" s="46"/>
      <c r="K719" s="46"/>
      <c r="L719" s="51"/>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51"/>
      <c r="BB719" s="46"/>
      <c r="BC719" s="46"/>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6"/>
      <c r="CA719" s="46"/>
      <c r="CB719" s="46"/>
      <c r="CC719" s="46"/>
      <c r="CD719" s="46"/>
      <c r="CE719" s="46"/>
      <c r="CF719" s="46"/>
      <c r="CG719" s="46"/>
      <c r="CH719" s="46"/>
      <c r="CI719" s="46"/>
      <c r="CJ719" s="46"/>
      <c r="CK719" s="46"/>
      <c r="CL719" s="46"/>
      <c r="CM719" s="46"/>
      <c r="CN719" s="46"/>
    </row>
    <row r="720">
      <c r="A720" s="46"/>
      <c r="B720" s="46"/>
      <c r="C720" s="46"/>
      <c r="D720" s="46"/>
      <c r="E720" s="46"/>
      <c r="F720" s="46"/>
      <c r="G720" s="46"/>
      <c r="H720" s="46"/>
      <c r="I720" s="46"/>
      <c r="J720" s="46"/>
      <c r="K720" s="46"/>
      <c r="L720" s="51"/>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51"/>
      <c r="BB720" s="46"/>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6"/>
      <c r="CA720" s="46"/>
      <c r="CB720" s="46"/>
      <c r="CC720" s="46"/>
      <c r="CD720" s="46"/>
      <c r="CE720" s="46"/>
      <c r="CF720" s="46"/>
      <c r="CG720" s="46"/>
      <c r="CH720" s="46"/>
      <c r="CI720" s="46"/>
      <c r="CJ720" s="46"/>
      <c r="CK720" s="46"/>
      <c r="CL720" s="46"/>
      <c r="CM720" s="46"/>
      <c r="CN720" s="46"/>
    </row>
    <row r="721">
      <c r="A721" s="46"/>
      <c r="B721" s="46"/>
      <c r="C721" s="46"/>
      <c r="D721" s="46"/>
      <c r="E721" s="46"/>
      <c r="F721" s="46"/>
      <c r="G721" s="46"/>
      <c r="H721" s="46"/>
      <c r="I721" s="46"/>
      <c r="J721" s="46"/>
      <c r="K721" s="46"/>
      <c r="L721" s="51"/>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51"/>
      <c r="BB721" s="46"/>
      <c r="BC721" s="46"/>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6"/>
      <c r="CA721" s="46"/>
      <c r="CB721" s="46"/>
      <c r="CC721" s="46"/>
      <c r="CD721" s="46"/>
      <c r="CE721" s="46"/>
      <c r="CF721" s="46"/>
      <c r="CG721" s="46"/>
      <c r="CH721" s="46"/>
      <c r="CI721" s="46"/>
      <c r="CJ721" s="46"/>
      <c r="CK721" s="46"/>
      <c r="CL721" s="46"/>
      <c r="CM721" s="46"/>
      <c r="CN721" s="46"/>
    </row>
    <row r="722">
      <c r="A722" s="46"/>
      <c r="B722" s="46"/>
      <c r="C722" s="46"/>
      <c r="D722" s="46"/>
      <c r="E722" s="46"/>
      <c r="F722" s="46"/>
      <c r="G722" s="46"/>
      <c r="H722" s="46"/>
      <c r="I722" s="46"/>
      <c r="J722" s="46"/>
      <c r="K722" s="46"/>
      <c r="L722" s="51"/>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51"/>
      <c r="BB722" s="46"/>
      <c r="BC722" s="46"/>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6"/>
      <c r="CA722" s="46"/>
      <c r="CB722" s="46"/>
      <c r="CC722" s="46"/>
      <c r="CD722" s="46"/>
      <c r="CE722" s="46"/>
      <c r="CF722" s="46"/>
      <c r="CG722" s="46"/>
      <c r="CH722" s="46"/>
      <c r="CI722" s="46"/>
      <c r="CJ722" s="46"/>
      <c r="CK722" s="46"/>
      <c r="CL722" s="46"/>
      <c r="CM722" s="46"/>
      <c r="CN722" s="46"/>
    </row>
    <row r="723">
      <c r="A723" s="46"/>
      <c r="B723" s="46"/>
      <c r="C723" s="46"/>
      <c r="D723" s="46"/>
      <c r="E723" s="46"/>
      <c r="F723" s="46"/>
      <c r="G723" s="46"/>
      <c r="H723" s="46"/>
      <c r="I723" s="46"/>
      <c r="J723" s="46"/>
      <c r="K723" s="46"/>
      <c r="L723" s="51"/>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51"/>
      <c r="BB723" s="46"/>
      <c r="BC723" s="46"/>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6"/>
      <c r="CA723" s="46"/>
      <c r="CB723" s="46"/>
      <c r="CC723" s="46"/>
      <c r="CD723" s="46"/>
      <c r="CE723" s="46"/>
      <c r="CF723" s="46"/>
      <c r="CG723" s="46"/>
      <c r="CH723" s="46"/>
      <c r="CI723" s="46"/>
      <c r="CJ723" s="46"/>
      <c r="CK723" s="46"/>
      <c r="CL723" s="46"/>
      <c r="CM723" s="46"/>
      <c r="CN723" s="46"/>
    </row>
    <row r="724">
      <c r="A724" s="46"/>
      <c r="B724" s="46"/>
      <c r="C724" s="46"/>
      <c r="D724" s="46"/>
      <c r="E724" s="46"/>
      <c r="F724" s="46"/>
      <c r="G724" s="46"/>
      <c r="H724" s="46"/>
      <c r="I724" s="46"/>
      <c r="J724" s="46"/>
      <c r="K724" s="46"/>
      <c r="L724" s="51"/>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51"/>
      <c r="BB724" s="46"/>
      <c r="BC724" s="46"/>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6"/>
      <c r="CA724" s="46"/>
      <c r="CB724" s="46"/>
      <c r="CC724" s="46"/>
      <c r="CD724" s="46"/>
      <c r="CE724" s="46"/>
      <c r="CF724" s="46"/>
      <c r="CG724" s="46"/>
      <c r="CH724" s="46"/>
      <c r="CI724" s="46"/>
      <c r="CJ724" s="46"/>
      <c r="CK724" s="46"/>
      <c r="CL724" s="46"/>
      <c r="CM724" s="46"/>
      <c r="CN724" s="46"/>
    </row>
    <row r="725">
      <c r="A725" s="46"/>
      <c r="B725" s="46"/>
      <c r="C725" s="46"/>
      <c r="D725" s="46"/>
      <c r="E725" s="46"/>
      <c r="F725" s="46"/>
      <c r="G725" s="46"/>
      <c r="H725" s="46"/>
      <c r="I725" s="46"/>
      <c r="J725" s="46"/>
      <c r="K725" s="46"/>
      <c r="L725" s="51"/>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51"/>
      <c r="BB725" s="46"/>
      <c r="BC725" s="46"/>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6"/>
      <c r="CA725" s="46"/>
      <c r="CB725" s="46"/>
      <c r="CC725" s="46"/>
      <c r="CD725" s="46"/>
      <c r="CE725" s="46"/>
      <c r="CF725" s="46"/>
      <c r="CG725" s="46"/>
      <c r="CH725" s="46"/>
      <c r="CI725" s="46"/>
      <c r="CJ725" s="46"/>
      <c r="CK725" s="46"/>
      <c r="CL725" s="46"/>
      <c r="CM725" s="46"/>
      <c r="CN725" s="46"/>
    </row>
    <row r="726">
      <c r="A726" s="46"/>
      <c r="B726" s="46"/>
      <c r="C726" s="46"/>
      <c r="D726" s="46"/>
      <c r="E726" s="46"/>
      <c r="F726" s="46"/>
      <c r="G726" s="46"/>
      <c r="H726" s="46"/>
      <c r="I726" s="46"/>
      <c r="J726" s="46"/>
      <c r="K726" s="46"/>
      <c r="L726" s="51"/>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51"/>
      <c r="BB726" s="46"/>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6"/>
      <c r="CA726" s="46"/>
      <c r="CB726" s="46"/>
      <c r="CC726" s="46"/>
      <c r="CD726" s="46"/>
      <c r="CE726" s="46"/>
      <c r="CF726" s="46"/>
      <c r="CG726" s="46"/>
      <c r="CH726" s="46"/>
      <c r="CI726" s="46"/>
      <c r="CJ726" s="46"/>
      <c r="CK726" s="46"/>
      <c r="CL726" s="46"/>
      <c r="CM726" s="46"/>
      <c r="CN726" s="46"/>
    </row>
    <row r="727">
      <c r="A727" s="46"/>
      <c r="B727" s="46"/>
      <c r="C727" s="46"/>
      <c r="D727" s="46"/>
      <c r="E727" s="46"/>
      <c r="F727" s="46"/>
      <c r="G727" s="46"/>
      <c r="H727" s="46"/>
      <c r="I727" s="46"/>
      <c r="J727" s="46"/>
      <c r="K727" s="46"/>
      <c r="L727" s="51"/>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51"/>
      <c r="BB727" s="46"/>
      <c r="BC727" s="46"/>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6"/>
      <c r="CA727" s="46"/>
      <c r="CB727" s="46"/>
      <c r="CC727" s="46"/>
      <c r="CD727" s="46"/>
      <c r="CE727" s="46"/>
      <c r="CF727" s="46"/>
      <c r="CG727" s="46"/>
      <c r="CH727" s="46"/>
      <c r="CI727" s="46"/>
      <c r="CJ727" s="46"/>
      <c r="CK727" s="46"/>
      <c r="CL727" s="46"/>
      <c r="CM727" s="46"/>
      <c r="CN727" s="46"/>
    </row>
    <row r="728">
      <c r="A728" s="46"/>
      <c r="B728" s="46"/>
      <c r="C728" s="46"/>
      <c r="D728" s="46"/>
      <c r="E728" s="46"/>
      <c r="F728" s="46"/>
      <c r="G728" s="46"/>
      <c r="H728" s="46"/>
      <c r="I728" s="46"/>
      <c r="J728" s="46"/>
      <c r="K728" s="46"/>
      <c r="L728" s="51"/>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51"/>
      <c r="BB728" s="46"/>
      <c r="BC728" s="46"/>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6"/>
      <c r="CA728" s="46"/>
      <c r="CB728" s="46"/>
      <c r="CC728" s="46"/>
      <c r="CD728" s="46"/>
      <c r="CE728" s="46"/>
      <c r="CF728" s="46"/>
      <c r="CG728" s="46"/>
      <c r="CH728" s="46"/>
      <c r="CI728" s="46"/>
      <c r="CJ728" s="46"/>
      <c r="CK728" s="46"/>
      <c r="CL728" s="46"/>
      <c r="CM728" s="46"/>
      <c r="CN728" s="46"/>
    </row>
    <row r="729">
      <c r="A729" s="46"/>
      <c r="B729" s="46"/>
      <c r="C729" s="46"/>
      <c r="D729" s="46"/>
      <c r="E729" s="46"/>
      <c r="F729" s="46"/>
      <c r="G729" s="46"/>
      <c r="H729" s="46"/>
      <c r="I729" s="46"/>
      <c r="J729" s="46"/>
      <c r="K729" s="46"/>
      <c r="L729" s="51"/>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51"/>
      <c r="BB729" s="46"/>
      <c r="BC729" s="46"/>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6"/>
      <c r="CA729" s="46"/>
      <c r="CB729" s="46"/>
      <c r="CC729" s="46"/>
      <c r="CD729" s="46"/>
      <c r="CE729" s="46"/>
      <c r="CF729" s="46"/>
      <c r="CG729" s="46"/>
      <c r="CH729" s="46"/>
      <c r="CI729" s="46"/>
      <c r="CJ729" s="46"/>
      <c r="CK729" s="46"/>
      <c r="CL729" s="46"/>
      <c r="CM729" s="46"/>
      <c r="CN729" s="46"/>
    </row>
    <row r="730">
      <c r="A730" s="46"/>
      <c r="B730" s="46"/>
      <c r="C730" s="46"/>
      <c r="D730" s="46"/>
      <c r="E730" s="46"/>
      <c r="F730" s="46"/>
      <c r="G730" s="46"/>
      <c r="H730" s="46"/>
      <c r="I730" s="46"/>
      <c r="J730" s="46"/>
      <c r="K730" s="46"/>
      <c r="L730" s="51"/>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51"/>
      <c r="BB730" s="46"/>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6"/>
      <c r="CA730" s="46"/>
      <c r="CB730" s="46"/>
      <c r="CC730" s="46"/>
      <c r="CD730" s="46"/>
      <c r="CE730" s="46"/>
      <c r="CF730" s="46"/>
      <c r="CG730" s="46"/>
      <c r="CH730" s="46"/>
      <c r="CI730" s="46"/>
      <c r="CJ730" s="46"/>
      <c r="CK730" s="46"/>
      <c r="CL730" s="46"/>
      <c r="CM730" s="46"/>
      <c r="CN730" s="46"/>
    </row>
    <row r="731">
      <c r="A731" s="46"/>
      <c r="B731" s="46"/>
      <c r="C731" s="46"/>
      <c r="D731" s="46"/>
      <c r="E731" s="46"/>
      <c r="F731" s="46"/>
      <c r="G731" s="46"/>
      <c r="H731" s="46"/>
      <c r="I731" s="46"/>
      <c r="J731" s="46"/>
      <c r="K731" s="46"/>
      <c r="L731" s="51"/>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51"/>
      <c r="BB731" s="46"/>
      <c r="BC731" s="46"/>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6"/>
      <c r="CA731" s="46"/>
      <c r="CB731" s="46"/>
      <c r="CC731" s="46"/>
      <c r="CD731" s="46"/>
      <c r="CE731" s="46"/>
      <c r="CF731" s="46"/>
      <c r="CG731" s="46"/>
      <c r="CH731" s="46"/>
      <c r="CI731" s="46"/>
      <c r="CJ731" s="46"/>
      <c r="CK731" s="46"/>
      <c r="CL731" s="46"/>
      <c r="CM731" s="46"/>
      <c r="CN731" s="46"/>
    </row>
    <row r="732">
      <c r="A732" s="46"/>
      <c r="B732" s="46"/>
      <c r="C732" s="46"/>
      <c r="D732" s="46"/>
      <c r="E732" s="46"/>
      <c r="F732" s="46"/>
      <c r="G732" s="46"/>
      <c r="H732" s="46"/>
      <c r="I732" s="46"/>
      <c r="J732" s="46"/>
      <c r="K732" s="46"/>
      <c r="L732" s="51"/>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51"/>
      <c r="BB732" s="46"/>
      <c r="BC732" s="46"/>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6"/>
      <c r="CA732" s="46"/>
      <c r="CB732" s="46"/>
      <c r="CC732" s="46"/>
      <c r="CD732" s="46"/>
      <c r="CE732" s="46"/>
      <c r="CF732" s="46"/>
      <c r="CG732" s="46"/>
      <c r="CH732" s="46"/>
      <c r="CI732" s="46"/>
      <c r="CJ732" s="46"/>
      <c r="CK732" s="46"/>
      <c r="CL732" s="46"/>
      <c r="CM732" s="46"/>
      <c r="CN732" s="46"/>
    </row>
    <row r="733">
      <c r="A733" s="46"/>
      <c r="B733" s="46"/>
      <c r="C733" s="46"/>
      <c r="D733" s="46"/>
      <c r="E733" s="46"/>
      <c r="F733" s="46"/>
      <c r="G733" s="46"/>
      <c r="H733" s="46"/>
      <c r="I733" s="46"/>
      <c r="J733" s="46"/>
      <c r="K733" s="46"/>
      <c r="L733" s="51"/>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51"/>
      <c r="BB733" s="46"/>
      <c r="BC733" s="46"/>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6"/>
      <c r="CA733" s="46"/>
      <c r="CB733" s="46"/>
      <c r="CC733" s="46"/>
      <c r="CD733" s="46"/>
      <c r="CE733" s="46"/>
      <c r="CF733" s="46"/>
      <c r="CG733" s="46"/>
      <c r="CH733" s="46"/>
      <c r="CI733" s="46"/>
      <c r="CJ733" s="46"/>
      <c r="CK733" s="46"/>
      <c r="CL733" s="46"/>
      <c r="CM733" s="46"/>
      <c r="CN733" s="46"/>
    </row>
    <row r="734">
      <c r="A734" s="46"/>
      <c r="B734" s="46"/>
      <c r="C734" s="46"/>
      <c r="D734" s="46"/>
      <c r="E734" s="46"/>
      <c r="F734" s="46"/>
      <c r="G734" s="46"/>
      <c r="H734" s="46"/>
      <c r="I734" s="46"/>
      <c r="J734" s="46"/>
      <c r="K734" s="46"/>
      <c r="L734" s="51"/>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51"/>
      <c r="BB734" s="46"/>
      <c r="BC734" s="46"/>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6"/>
      <c r="CA734" s="46"/>
      <c r="CB734" s="46"/>
      <c r="CC734" s="46"/>
      <c r="CD734" s="46"/>
      <c r="CE734" s="46"/>
      <c r="CF734" s="46"/>
      <c r="CG734" s="46"/>
      <c r="CH734" s="46"/>
      <c r="CI734" s="46"/>
      <c r="CJ734" s="46"/>
      <c r="CK734" s="46"/>
      <c r="CL734" s="46"/>
      <c r="CM734" s="46"/>
      <c r="CN734" s="46"/>
    </row>
    <row r="735">
      <c r="A735" s="46"/>
      <c r="B735" s="46"/>
      <c r="C735" s="46"/>
      <c r="D735" s="46"/>
      <c r="E735" s="46"/>
      <c r="F735" s="46"/>
      <c r="G735" s="46"/>
      <c r="H735" s="46"/>
      <c r="I735" s="46"/>
      <c r="J735" s="46"/>
      <c r="K735" s="46"/>
      <c r="L735" s="51"/>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51"/>
      <c r="BB735" s="46"/>
      <c r="BC735" s="46"/>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6"/>
      <c r="CA735" s="46"/>
      <c r="CB735" s="46"/>
      <c r="CC735" s="46"/>
      <c r="CD735" s="46"/>
      <c r="CE735" s="46"/>
      <c r="CF735" s="46"/>
      <c r="CG735" s="46"/>
      <c r="CH735" s="46"/>
      <c r="CI735" s="46"/>
      <c r="CJ735" s="46"/>
      <c r="CK735" s="46"/>
      <c r="CL735" s="46"/>
      <c r="CM735" s="46"/>
      <c r="CN735" s="46"/>
    </row>
    <row r="736">
      <c r="A736" s="46"/>
      <c r="B736" s="46"/>
      <c r="C736" s="46"/>
      <c r="D736" s="46"/>
      <c r="E736" s="46"/>
      <c r="F736" s="46"/>
      <c r="G736" s="46"/>
      <c r="H736" s="46"/>
      <c r="I736" s="46"/>
      <c r="J736" s="46"/>
      <c r="K736" s="46"/>
      <c r="L736" s="51"/>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51"/>
      <c r="BB736" s="46"/>
      <c r="BC736" s="46"/>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6"/>
      <c r="CA736" s="46"/>
      <c r="CB736" s="46"/>
      <c r="CC736" s="46"/>
      <c r="CD736" s="46"/>
      <c r="CE736" s="46"/>
      <c r="CF736" s="46"/>
      <c r="CG736" s="46"/>
      <c r="CH736" s="46"/>
      <c r="CI736" s="46"/>
      <c r="CJ736" s="46"/>
      <c r="CK736" s="46"/>
      <c r="CL736" s="46"/>
      <c r="CM736" s="46"/>
      <c r="CN736" s="46"/>
    </row>
    <row r="737">
      <c r="A737" s="46"/>
      <c r="B737" s="46"/>
      <c r="C737" s="46"/>
      <c r="D737" s="46"/>
      <c r="E737" s="46"/>
      <c r="F737" s="46"/>
      <c r="G737" s="46"/>
      <c r="H737" s="46"/>
      <c r="I737" s="46"/>
      <c r="J737" s="46"/>
      <c r="K737" s="46"/>
      <c r="L737" s="51"/>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51"/>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6"/>
      <c r="CA737" s="46"/>
      <c r="CB737" s="46"/>
      <c r="CC737" s="46"/>
      <c r="CD737" s="46"/>
      <c r="CE737" s="46"/>
      <c r="CF737" s="46"/>
      <c r="CG737" s="46"/>
      <c r="CH737" s="46"/>
      <c r="CI737" s="46"/>
      <c r="CJ737" s="46"/>
      <c r="CK737" s="46"/>
      <c r="CL737" s="46"/>
      <c r="CM737" s="46"/>
      <c r="CN737" s="46"/>
    </row>
    <row r="738">
      <c r="A738" s="46"/>
      <c r="B738" s="46"/>
      <c r="C738" s="46"/>
      <c r="D738" s="46"/>
      <c r="E738" s="46"/>
      <c r="F738" s="46"/>
      <c r="G738" s="46"/>
      <c r="H738" s="46"/>
      <c r="I738" s="46"/>
      <c r="J738" s="46"/>
      <c r="K738" s="46"/>
      <c r="L738" s="51"/>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51"/>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6"/>
      <c r="CA738" s="46"/>
      <c r="CB738" s="46"/>
      <c r="CC738" s="46"/>
      <c r="CD738" s="46"/>
      <c r="CE738" s="46"/>
      <c r="CF738" s="46"/>
      <c r="CG738" s="46"/>
      <c r="CH738" s="46"/>
      <c r="CI738" s="46"/>
      <c r="CJ738" s="46"/>
      <c r="CK738" s="46"/>
      <c r="CL738" s="46"/>
      <c r="CM738" s="46"/>
      <c r="CN738" s="46"/>
    </row>
    <row r="739">
      <c r="A739" s="46"/>
      <c r="B739" s="46"/>
      <c r="C739" s="46"/>
      <c r="D739" s="46"/>
      <c r="E739" s="46"/>
      <c r="F739" s="46"/>
      <c r="G739" s="46"/>
      <c r="H739" s="46"/>
      <c r="I739" s="46"/>
      <c r="J739" s="46"/>
      <c r="K739" s="46"/>
      <c r="L739" s="51"/>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51"/>
      <c r="BB739" s="46"/>
      <c r="BC739" s="46"/>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6"/>
      <c r="CA739" s="46"/>
      <c r="CB739" s="46"/>
      <c r="CC739" s="46"/>
      <c r="CD739" s="46"/>
      <c r="CE739" s="46"/>
      <c r="CF739" s="46"/>
      <c r="CG739" s="46"/>
      <c r="CH739" s="46"/>
      <c r="CI739" s="46"/>
      <c r="CJ739" s="46"/>
      <c r="CK739" s="46"/>
      <c r="CL739" s="46"/>
      <c r="CM739" s="46"/>
      <c r="CN739" s="46"/>
    </row>
    <row r="740">
      <c r="A740" s="46"/>
      <c r="B740" s="46"/>
      <c r="C740" s="46"/>
      <c r="D740" s="46"/>
      <c r="E740" s="46"/>
      <c r="F740" s="46"/>
      <c r="G740" s="46"/>
      <c r="H740" s="46"/>
      <c r="I740" s="46"/>
      <c r="J740" s="46"/>
      <c r="K740" s="46"/>
      <c r="L740" s="51"/>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51"/>
      <c r="BB740" s="46"/>
      <c r="BC740" s="46"/>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6"/>
      <c r="CA740" s="46"/>
      <c r="CB740" s="46"/>
      <c r="CC740" s="46"/>
      <c r="CD740" s="46"/>
      <c r="CE740" s="46"/>
      <c r="CF740" s="46"/>
      <c r="CG740" s="46"/>
      <c r="CH740" s="46"/>
      <c r="CI740" s="46"/>
      <c r="CJ740" s="46"/>
      <c r="CK740" s="46"/>
      <c r="CL740" s="46"/>
      <c r="CM740" s="46"/>
      <c r="CN740" s="46"/>
    </row>
    <row r="741">
      <c r="A741" s="46"/>
      <c r="B741" s="46"/>
      <c r="C741" s="46"/>
      <c r="D741" s="46"/>
      <c r="E741" s="46"/>
      <c r="F741" s="46"/>
      <c r="G741" s="46"/>
      <c r="H741" s="46"/>
      <c r="I741" s="46"/>
      <c r="J741" s="46"/>
      <c r="K741" s="46"/>
      <c r="L741" s="51"/>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51"/>
      <c r="BB741" s="46"/>
      <c r="BC741" s="46"/>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6"/>
      <c r="CA741" s="46"/>
      <c r="CB741" s="46"/>
      <c r="CC741" s="46"/>
      <c r="CD741" s="46"/>
      <c r="CE741" s="46"/>
      <c r="CF741" s="46"/>
      <c r="CG741" s="46"/>
      <c r="CH741" s="46"/>
      <c r="CI741" s="46"/>
      <c r="CJ741" s="46"/>
      <c r="CK741" s="46"/>
      <c r="CL741" s="46"/>
      <c r="CM741" s="46"/>
      <c r="CN741" s="46"/>
    </row>
    <row r="742">
      <c r="A742" s="46"/>
      <c r="B742" s="46"/>
      <c r="C742" s="46"/>
      <c r="D742" s="46"/>
      <c r="E742" s="46"/>
      <c r="F742" s="46"/>
      <c r="G742" s="46"/>
      <c r="H742" s="46"/>
      <c r="I742" s="46"/>
      <c r="J742" s="46"/>
      <c r="K742" s="46"/>
      <c r="L742" s="51"/>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51"/>
      <c r="BB742" s="46"/>
      <c r="BC742" s="46"/>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6"/>
      <c r="CA742" s="46"/>
      <c r="CB742" s="46"/>
      <c r="CC742" s="46"/>
      <c r="CD742" s="46"/>
      <c r="CE742" s="46"/>
      <c r="CF742" s="46"/>
      <c r="CG742" s="46"/>
      <c r="CH742" s="46"/>
      <c r="CI742" s="46"/>
      <c r="CJ742" s="46"/>
      <c r="CK742" s="46"/>
      <c r="CL742" s="46"/>
      <c r="CM742" s="46"/>
      <c r="CN742" s="46"/>
    </row>
    <row r="743">
      <c r="A743" s="46"/>
      <c r="B743" s="46"/>
      <c r="C743" s="46"/>
      <c r="D743" s="46"/>
      <c r="E743" s="46"/>
      <c r="F743" s="46"/>
      <c r="G743" s="46"/>
      <c r="H743" s="46"/>
      <c r="I743" s="46"/>
      <c r="J743" s="46"/>
      <c r="K743" s="46"/>
      <c r="L743" s="51"/>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51"/>
      <c r="BB743" s="46"/>
      <c r="BC743" s="46"/>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6"/>
      <c r="CA743" s="46"/>
      <c r="CB743" s="46"/>
      <c r="CC743" s="46"/>
      <c r="CD743" s="46"/>
      <c r="CE743" s="46"/>
      <c r="CF743" s="46"/>
      <c r="CG743" s="46"/>
      <c r="CH743" s="46"/>
      <c r="CI743" s="46"/>
      <c r="CJ743" s="46"/>
      <c r="CK743" s="46"/>
      <c r="CL743" s="46"/>
      <c r="CM743" s="46"/>
      <c r="CN743" s="46"/>
    </row>
    <row r="744">
      <c r="A744" s="46"/>
      <c r="B744" s="46"/>
      <c r="C744" s="46"/>
      <c r="D744" s="46"/>
      <c r="E744" s="46"/>
      <c r="F744" s="46"/>
      <c r="G744" s="46"/>
      <c r="H744" s="46"/>
      <c r="I744" s="46"/>
      <c r="J744" s="46"/>
      <c r="K744" s="46"/>
      <c r="L744" s="51"/>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51"/>
      <c r="BB744" s="46"/>
      <c r="BC744" s="46"/>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6"/>
      <c r="CA744" s="46"/>
      <c r="CB744" s="46"/>
      <c r="CC744" s="46"/>
      <c r="CD744" s="46"/>
      <c r="CE744" s="46"/>
      <c r="CF744" s="46"/>
      <c r="CG744" s="46"/>
      <c r="CH744" s="46"/>
      <c r="CI744" s="46"/>
      <c r="CJ744" s="46"/>
      <c r="CK744" s="46"/>
      <c r="CL744" s="46"/>
      <c r="CM744" s="46"/>
      <c r="CN744" s="46"/>
    </row>
    <row r="745">
      <c r="A745" s="46"/>
      <c r="B745" s="46"/>
      <c r="C745" s="46"/>
      <c r="D745" s="46"/>
      <c r="E745" s="46"/>
      <c r="F745" s="46"/>
      <c r="G745" s="46"/>
      <c r="H745" s="46"/>
      <c r="I745" s="46"/>
      <c r="J745" s="46"/>
      <c r="K745" s="46"/>
      <c r="L745" s="51"/>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51"/>
      <c r="BB745" s="46"/>
      <c r="BC745" s="46"/>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6"/>
      <c r="CA745" s="46"/>
      <c r="CB745" s="46"/>
      <c r="CC745" s="46"/>
      <c r="CD745" s="46"/>
      <c r="CE745" s="46"/>
      <c r="CF745" s="46"/>
      <c r="CG745" s="46"/>
      <c r="CH745" s="46"/>
      <c r="CI745" s="46"/>
      <c r="CJ745" s="46"/>
      <c r="CK745" s="46"/>
      <c r="CL745" s="46"/>
      <c r="CM745" s="46"/>
      <c r="CN745" s="46"/>
    </row>
    <row r="746">
      <c r="A746" s="46"/>
      <c r="B746" s="46"/>
      <c r="C746" s="46"/>
      <c r="D746" s="46"/>
      <c r="E746" s="46"/>
      <c r="F746" s="46"/>
      <c r="G746" s="46"/>
      <c r="H746" s="46"/>
      <c r="I746" s="46"/>
      <c r="J746" s="46"/>
      <c r="K746" s="46"/>
      <c r="L746" s="51"/>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51"/>
      <c r="BB746" s="46"/>
      <c r="BC746" s="46"/>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6"/>
      <c r="CA746" s="46"/>
      <c r="CB746" s="46"/>
      <c r="CC746" s="46"/>
      <c r="CD746" s="46"/>
      <c r="CE746" s="46"/>
      <c r="CF746" s="46"/>
      <c r="CG746" s="46"/>
      <c r="CH746" s="46"/>
      <c r="CI746" s="46"/>
      <c r="CJ746" s="46"/>
      <c r="CK746" s="46"/>
      <c r="CL746" s="46"/>
      <c r="CM746" s="46"/>
      <c r="CN746" s="46"/>
    </row>
    <row r="747">
      <c r="A747" s="46"/>
      <c r="B747" s="46"/>
      <c r="C747" s="46"/>
      <c r="D747" s="46"/>
      <c r="E747" s="46"/>
      <c r="F747" s="46"/>
      <c r="G747" s="46"/>
      <c r="H747" s="46"/>
      <c r="I747" s="46"/>
      <c r="J747" s="46"/>
      <c r="K747" s="46"/>
      <c r="L747" s="51"/>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51"/>
      <c r="BB747" s="46"/>
      <c r="BC747" s="46"/>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6"/>
      <c r="CA747" s="46"/>
      <c r="CB747" s="46"/>
      <c r="CC747" s="46"/>
      <c r="CD747" s="46"/>
      <c r="CE747" s="46"/>
      <c r="CF747" s="46"/>
      <c r="CG747" s="46"/>
      <c r="CH747" s="46"/>
      <c r="CI747" s="46"/>
      <c r="CJ747" s="46"/>
      <c r="CK747" s="46"/>
      <c r="CL747" s="46"/>
      <c r="CM747" s="46"/>
      <c r="CN747" s="46"/>
    </row>
    <row r="748">
      <c r="A748" s="46"/>
      <c r="B748" s="46"/>
      <c r="C748" s="46"/>
      <c r="D748" s="46"/>
      <c r="E748" s="46"/>
      <c r="F748" s="46"/>
      <c r="G748" s="46"/>
      <c r="H748" s="46"/>
      <c r="I748" s="46"/>
      <c r="J748" s="46"/>
      <c r="K748" s="46"/>
      <c r="L748" s="51"/>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51"/>
      <c r="BB748" s="46"/>
      <c r="BC748" s="46"/>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6"/>
      <c r="CA748" s="46"/>
      <c r="CB748" s="46"/>
      <c r="CC748" s="46"/>
      <c r="CD748" s="46"/>
      <c r="CE748" s="46"/>
      <c r="CF748" s="46"/>
      <c r="CG748" s="46"/>
      <c r="CH748" s="46"/>
      <c r="CI748" s="46"/>
      <c r="CJ748" s="46"/>
      <c r="CK748" s="46"/>
      <c r="CL748" s="46"/>
      <c r="CM748" s="46"/>
      <c r="CN748" s="46"/>
    </row>
    <row r="749">
      <c r="A749" s="46"/>
      <c r="B749" s="46"/>
      <c r="C749" s="46"/>
      <c r="D749" s="46"/>
      <c r="E749" s="46"/>
      <c r="F749" s="46"/>
      <c r="G749" s="46"/>
      <c r="H749" s="46"/>
      <c r="I749" s="46"/>
      <c r="J749" s="46"/>
      <c r="K749" s="46"/>
      <c r="L749" s="51"/>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51"/>
      <c r="BB749" s="46"/>
      <c r="BC749" s="46"/>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6"/>
      <c r="CA749" s="46"/>
      <c r="CB749" s="46"/>
      <c r="CC749" s="46"/>
      <c r="CD749" s="46"/>
      <c r="CE749" s="46"/>
      <c r="CF749" s="46"/>
      <c r="CG749" s="46"/>
      <c r="CH749" s="46"/>
      <c r="CI749" s="46"/>
      <c r="CJ749" s="46"/>
      <c r="CK749" s="46"/>
      <c r="CL749" s="46"/>
      <c r="CM749" s="46"/>
      <c r="CN749" s="46"/>
    </row>
    <row r="750">
      <c r="A750" s="46"/>
      <c r="B750" s="46"/>
      <c r="C750" s="46"/>
      <c r="D750" s="46"/>
      <c r="E750" s="46"/>
      <c r="F750" s="46"/>
      <c r="G750" s="46"/>
      <c r="H750" s="46"/>
      <c r="I750" s="46"/>
      <c r="J750" s="46"/>
      <c r="K750" s="46"/>
      <c r="L750" s="51"/>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51"/>
      <c r="BB750" s="46"/>
      <c r="BC750" s="46"/>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6"/>
      <c r="CA750" s="46"/>
      <c r="CB750" s="46"/>
      <c r="CC750" s="46"/>
      <c r="CD750" s="46"/>
      <c r="CE750" s="46"/>
      <c r="CF750" s="46"/>
      <c r="CG750" s="46"/>
      <c r="CH750" s="46"/>
      <c r="CI750" s="46"/>
      <c r="CJ750" s="46"/>
      <c r="CK750" s="46"/>
      <c r="CL750" s="46"/>
      <c r="CM750" s="46"/>
      <c r="CN750" s="46"/>
    </row>
    <row r="751">
      <c r="A751" s="46"/>
      <c r="B751" s="46"/>
      <c r="C751" s="46"/>
      <c r="D751" s="46"/>
      <c r="E751" s="46"/>
      <c r="F751" s="46"/>
      <c r="G751" s="46"/>
      <c r="H751" s="46"/>
      <c r="I751" s="46"/>
      <c r="J751" s="46"/>
      <c r="K751" s="46"/>
      <c r="L751" s="51"/>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51"/>
      <c r="BB751" s="46"/>
      <c r="BC751" s="46"/>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6"/>
      <c r="CA751" s="46"/>
      <c r="CB751" s="46"/>
      <c r="CC751" s="46"/>
      <c r="CD751" s="46"/>
      <c r="CE751" s="46"/>
      <c r="CF751" s="46"/>
      <c r="CG751" s="46"/>
      <c r="CH751" s="46"/>
      <c r="CI751" s="46"/>
      <c r="CJ751" s="46"/>
      <c r="CK751" s="46"/>
      <c r="CL751" s="46"/>
      <c r="CM751" s="46"/>
      <c r="CN751" s="46"/>
    </row>
    <row r="752">
      <c r="A752" s="46"/>
      <c r="B752" s="46"/>
      <c r="C752" s="46"/>
      <c r="D752" s="46"/>
      <c r="E752" s="46"/>
      <c r="F752" s="46"/>
      <c r="G752" s="46"/>
      <c r="H752" s="46"/>
      <c r="I752" s="46"/>
      <c r="J752" s="46"/>
      <c r="K752" s="46"/>
      <c r="L752" s="51"/>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51"/>
      <c r="BB752" s="46"/>
      <c r="BC752" s="46"/>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6"/>
      <c r="CA752" s="46"/>
      <c r="CB752" s="46"/>
      <c r="CC752" s="46"/>
      <c r="CD752" s="46"/>
      <c r="CE752" s="46"/>
      <c r="CF752" s="46"/>
      <c r="CG752" s="46"/>
      <c r="CH752" s="46"/>
      <c r="CI752" s="46"/>
      <c r="CJ752" s="46"/>
      <c r="CK752" s="46"/>
      <c r="CL752" s="46"/>
      <c r="CM752" s="46"/>
      <c r="CN752" s="46"/>
    </row>
    <row r="753">
      <c r="A753" s="46"/>
      <c r="B753" s="46"/>
      <c r="C753" s="46"/>
      <c r="D753" s="46"/>
      <c r="E753" s="46"/>
      <c r="F753" s="46"/>
      <c r="G753" s="46"/>
      <c r="H753" s="46"/>
      <c r="I753" s="46"/>
      <c r="J753" s="46"/>
      <c r="K753" s="46"/>
      <c r="L753" s="51"/>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51"/>
      <c r="BB753" s="46"/>
      <c r="BC753" s="46"/>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6"/>
      <c r="CA753" s="46"/>
      <c r="CB753" s="46"/>
      <c r="CC753" s="46"/>
      <c r="CD753" s="46"/>
      <c r="CE753" s="46"/>
      <c r="CF753" s="46"/>
      <c r="CG753" s="46"/>
      <c r="CH753" s="46"/>
      <c r="CI753" s="46"/>
      <c r="CJ753" s="46"/>
      <c r="CK753" s="46"/>
      <c r="CL753" s="46"/>
      <c r="CM753" s="46"/>
      <c r="CN753" s="46"/>
    </row>
    <row r="754">
      <c r="A754" s="46"/>
      <c r="B754" s="46"/>
      <c r="C754" s="46"/>
      <c r="D754" s="46"/>
      <c r="E754" s="46"/>
      <c r="F754" s="46"/>
      <c r="G754" s="46"/>
      <c r="H754" s="46"/>
      <c r="I754" s="46"/>
      <c r="J754" s="46"/>
      <c r="K754" s="46"/>
      <c r="L754" s="51"/>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51"/>
      <c r="BB754" s="46"/>
      <c r="BC754" s="46"/>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6"/>
      <c r="CA754" s="46"/>
      <c r="CB754" s="46"/>
      <c r="CC754" s="46"/>
      <c r="CD754" s="46"/>
      <c r="CE754" s="46"/>
      <c r="CF754" s="46"/>
      <c r="CG754" s="46"/>
      <c r="CH754" s="46"/>
      <c r="CI754" s="46"/>
      <c r="CJ754" s="46"/>
      <c r="CK754" s="46"/>
      <c r="CL754" s="46"/>
      <c r="CM754" s="46"/>
      <c r="CN754" s="46"/>
    </row>
    <row r="755">
      <c r="A755" s="46"/>
      <c r="B755" s="46"/>
      <c r="C755" s="46"/>
      <c r="D755" s="46"/>
      <c r="E755" s="46"/>
      <c r="F755" s="46"/>
      <c r="G755" s="46"/>
      <c r="H755" s="46"/>
      <c r="I755" s="46"/>
      <c r="J755" s="46"/>
      <c r="K755" s="46"/>
      <c r="L755" s="51"/>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51"/>
      <c r="BB755" s="46"/>
      <c r="BC755" s="46"/>
      <c r="BD755" s="46"/>
      <c r="BE755" s="46"/>
      <c r="BF755" s="46"/>
      <c r="BG755" s="46"/>
      <c r="BH755" s="46"/>
      <c r="BI755" s="46"/>
      <c r="BJ755" s="46"/>
      <c r="BK755" s="46"/>
      <c r="BL755" s="46"/>
      <c r="BM755" s="46"/>
      <c r="BN755" s="46"/>
      <c r="BO755" s="46"/>
      <c r="BP755" s="46"/>
      <c r="BQ755" s="46"/>
      <c r="BR755" s="46"/>
      <c r="BS755" s="46"/>
      <c r="BT755" s="46"/>
      <c r="BU755" s="46"/>
      <c r="BV755" s="46"/>
      <c r="BW755" s="46"/>
      <c r="BX755" s="46"/>
      <c r="BY755" s="46"/>
      <c r="BZ755" s="46"/>
      <c r="CA755" s="46"/>
      <c r="CB755" s="46"/>
      <c r="CC755" s="46"/>
      <c r="CD755" s="46"/>
      <c r="CE755" s="46"/>
      <c r="CF755" s="46"/>
      <c r="CG755" s="46"/>
      <c r="CH755" s="46"/>
      <c r="CI755" s="46"/>
      <c r="CJ755" s="46"/>
      <c r="CK755" s="46"/>
      <c r="CL755" s="46"/>
      <c r="CM755" s="46"/>
      <c r="CN755" s="46"/>
    </row>
    <row r="756">
      <c r="A756" s="46"/>
      <c r="B756" s="46"/>
      <c r="C756" s="46"/>
      <c r="D756" s="46"/>
      <c r="E756" s="46"/>
      <c r="F756" s="46"/>
      <c r="G756" s="46"/>
      <c r="H756" s="46"/>
      <c r="I756" s="46"/>
      <c r="J756" s="46"/>
      <c r="K756" s="46"/>
      <c r="L756" s="51"/>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51"/>
      <c r="BB756" s="46"/>
      <c r="BC756" s="46"/>
      <c r="BD756" s="46"/>
      <c r="BE756" s="46"/>
      <c r="BF756" s="46"/>
      <c r="BG756" s="46"/>
      <c r="BH756" s="46"/>
      <c r="BI756" s="46"/>
      <c r="BJ756" s="46"/>
      <c r="BK756" s="46"/>
      <c r="BL756" s="46"/>
      <c r="BM756" s="46"/>
      <c r="BN756" s="46"/>
      <c r="BO756" s="46"/>
      <c r="BP756" s="46"/>
      <c r="BQ756" s="46"/>
      <c r="BR756" s="46"/>
      <c r="BS756" s="46"/>
      <c r="BT756" s="46"/>
      <c r="BU756" s="46"/>
      <c r="BV756" s="46"/>
      <c r="BW756" s="46"/>
      <c r="BX756" s="46"/>
      <c r="BY756" s="46"/>
      <c r="BZ756" s="46"/>
      <c r="CA756" s="46"/>
      <c r="CB756" s="46"/>
      <c r="CC756" s="46"/>
      <c r="CD756" s="46"/>
      <c r="CE756" s="46"/>
      <c r="CF756" s="46"/>
      <c r="CG756" s="46"/>
      <c r="CH756" s="46"/>
      <c r="CI756" s="46"/>
      <c r="CJ756" s="46"/>
      <c r="CK756" s="46"/>
      <c r="CL756" s="46"/>
      <c r="CM756" s="46"/>
      <c r="CN756" s="46"/>
    </row>
    <row r="757">
      <c r="A757" s="46"/>
      <c r="B757" s="46"/>
      <c r="C757" s="46"/>
      <c r="D757" s="46"/>
      <c r="E757" s="46"/>
      <c r="F757" s="46"/>
      <c r="G757" s="46"/>
      <c r="H757" s="46"/>
      <c r="I757" s="46"/>
      <c r="J757" s="46"/>
      <c r="K757" s="46"/>
      <c r="L757" s="51"/>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51"/>
      <c r="BB757" s="46"/>
      <c r="BC757" s="46"/>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6"/>
      <c r="CA757" s="46"/>
      <c r="CB757" s="46"/>
      <c r="CC757" s="46"/>
      <c r="CD757" s="46"/>
      <c r="CE757" s="46"/>
      <c r="CF757" s="46"/>
      <c r="CG757" s="46"/>
      <c r="CH757" s="46"/>
      <c r="CI757" s="46"/>
      <c r="CJ757" s="46"/>
      <c r="CK757" s="46"/>
      <c r="CL757" s="46"/>
      <c r="CM757" s="46"/>
      <c r="CN757" s="46"/>
    </row>
    <row r="758">
      <c r="A758" s="46"/>
      <c r="B758" s="46"/>
      <c r="C758" s="46"/>
      <c r="D758" s="46"/>
      <c r="E758" s="46"/>
      <c r="F758" s="46"/>
      <c r="G758" s="46"/>
      <c r="H758" s="46"/>
      <c r="I758" s="46"/>
      <c r="J758" s="46"/>
      <c r="K758" s="46"/>
      <c r="L758" s="51"/>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51"/>
      <c r="BB758" s="46"/>
      <c r="BC758" s="46"/>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6"/>
      <c r="CA758" s="46"/>
      <c r="CB758" s="46"/>
      <c r="CC758" s="46"/>
      <c r="CD758" s="46"/>
      <c r="CE758" s="46"/>
      <c r="CF758" s="46"/>
      <c r="CG758" s="46"/>
      <c r="CH758" s="46"/>
      <c r="CI758" s="46"/>
      <c r="CJ758" s="46"/>
      <c r="CK758" s="46"/>
      <c r="CL758" s="46"/>
      <c r="CM758" s="46"/>
      <c r="CN758" s="46"/>
    </row>
    <row r="759">
      <c r="A759" s="46"/>
      <c r="B759" s="46"/>
      <c r="C759" s="46"/>
      <c r="D759" s="46"/>
      <c r="E759" s="46"/>
      <c r="F759" s="46"/>
      <c r="G759" s="46"/>
      <c r="H759" s="46"/>
      <c r="I759" s="46"/>
      <c r="J759" s="46"/>
      <c r="K759" s="46"/>
      <c r="L759" s="51"/>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51"/>
      <c r="BB759" s="46"/>
      <c r="BC759" s="46"/>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6"/>
      <c r="CA759" s="46"/>
      <c r="CB759" s="46"/>
      <c r="CC759" s="46"/>
      <c r="CD759" s="46"/>
      <c r="CE759" s="46"/>
      <c r="CF759" s="46"/>
      <c r="CG759" s="46"/>
      <c r="CH759" s="46"/>
      <c r="CI759" s="46"/>
      <c r="CJ759" s="46"/>
      <c r="CK759" s="46"/>
      <c r="CL759" s="46"/>
      <c r="CM759" s="46"/>
      <c r="CN759" s="46"/>
    </row>
    <row r="760">
      <c r="A760" s="46"/>
      <c r="B760" s="46"/>
      <c r="C760" s="46"/>
      <c r="D760" s="46"/>
      <c r="E760" s="46"/>
      <c r="F760" s="46"/>
      <c r="G760" s="46"/>
      <c r="H760" s="46"/>
      <c r="I760" s="46"/>
      <c r="J760" s="46"/>
      <c r="K760" s="46"/>
      <c r="L760" s="51"/>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51"/>
      <c r="BB760" s="46"/>
      <c r="BC760" s="46"/>
      <c r="BD760" s="46"/>
      <c r="BE760" s="46"/>
      <c r="BF760" s="46"/>
      <c r="BG760" s="46"/>
      <c r="BH760" s="46"/>
      <c r="BI760" s="46"/>
      <c r="BJ760" s="46"/>
      <c r="BK760" s="46"/>
      <c r="BL760" s="46"/>
      <c r="BM760" s="46"/>
      <c r="BN760" s="46"/>
      <c r="BO760" s="46"/>
      <c r="BP760" s="46"/>
      <c r="BQ760" s="46"/>
      <c r="BR760" s="46"/>
      <c r="BS760" s="46"/>
      <c r="BT760" s="46"/>
      <c r="BU760" s="46"/>
      <c r="BV760" s="46"/>
      <c r="BW760" s="46"/>
      <c r="BX760" s="46"/>
      <c r="BY760" s="46"/>
      <c r="BZ760" s="46"/>
      <c r="CA760" s="46"/>
      <c r="CB760" s="46"/>
      <c r="CC760" s="46"/>
      <c r="CD760" s="46"/>
      <c r="CE760" s="46"/>
      <c r="CF760" s="46"/>
      <c r="CG760" s="46"/>
      <c r="CH760" s="46"/>
      <c r="CI760" s="46"/>
      <c r="CJ760" s="46"/>
      <c r="CK760" s="46"/>
      <c r="CL760" s="46"/>
      <c r="CM760" s="46"/>
      <c r="CN760" s="46"/>
    </row>
    <row r="761">
      <c r="A761" s="46"/>
      <c r="B761" s="46"/>
      <c r="C761" s="46"/>
      <c r="D761" s="46"/>
      <c r="E761" s="46"/>
      <c r="F761" s="46"/>
      <c r="G761" s="46"/>
      <c r="H761" s="46"/>
      <c r="I761" s="46"/>
      <c r="J761" s="46"/>
      <c r="K761" s="46"/>
      <c r="L761" s="51"/>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51"/>
      <c r="BB761" s="46"/>
      <c r="BC761" s="46"/>
      <c r="BD761" s="46"/>
      <c r="BE761" s="46"/>
      <c r="BF761" s="46"/>
      <c r="BG761" s="46"/>
      <c r="BH761" s="46"/>
      <c r="BI761" s="46"/>
      <c r="BJ761" s="46"/>
      <c r="BK761" s="46"/>
      <c r="BL761" s="46"/>
      <c r="BM761" s="46"/>
      <c r="BN761" s="46"/>
      <c r="BO761" s="46"/>
      <c r="BP761" s="46"/>
      <c r="BQ761" s="46"/>
      <c r="BR761" s="46"/>
      <c r="BS761" s="46"/>
      <c r="BT761" s="46"/>
      <c r="BU761" s="46"/>
      <c r="BV761" s="46"/>
      <c r="BW761" s="46"/>
      <c r="BX761" s="46"/>
      <c r="BY761" s="46"/>
      <c r="BZ761" s="46"/>
      <c r="CA761" s="46"/>
      <c r="CB761" s="46"/>
      <c r="CC761" s="46"/>
      <c r="CD761" s="46"/>
      <c r="CE761" s="46"/>
      <c r="CF761" s="46"/>
      <c r="CG761" s="46"/>
      <c r="CH761" s="46"/>
      <c r="CI761" s="46"/>
      <c r="CJ761" s="46"/>
      <c r="CK761" s="46"/>
      <c r="CL761" s="46"/>
      <c r="CM761" s="46"/>
      <c r="CN761" s="46"/>
    </row>
    <row r="762">
      <c r="A762" s="46"/>
      <c r="B762" s="46"/>
      <c r="C762" s="46"/>
      <c r="D762" s="46"/>
      <c r="E762" s="46"/>
      <c r="F762" s="46"/>
      <c r="G762" s="46"/>
      <c r="H762" s="46"/>
      <c r="I762" s="46"/>
      <c r="J762" s="46"/>
      <c r="K762" s="46"/>
      <c r="L762" s="51"/>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51"/>
      <c r="BB762" s="46"/>
      <c r="BC762" s="46"/>
      <c r="BD762" s="46"/>
      <c r="BE762" s="46"/>
      <c r="BF762" s="46"/>
      <c r="BG762" s="46"/>
      <c r="BH762" s="46"/>
      <c r="BI762" s="46"/>
      <c r="BJ762" s="46"/>
      <c r="BK762" s="46"/>
      <c r="BL762" s="46"/>
      <c r="BM762" s="46"/>
      <c r="BN762" s="46"/>
      <c r="BO762" s="46"/>
      <c r="BP762" s="46"/>
      <c r="BQ762" s="46"/>
      <c r="BR762" s="46"/>
      <c r="BS762" s="46"/>
      <c r="BT762" s="46"/>
      <c r="BU762" s="46"/>
      <c r="BV762" s="46"/>
      <c r="BW762" s="46"/>
      <c r="BX762" s="46"/>
      <c r="BY762" s="46"/>
      <c r="BZ762" s="46"/>
      <c r="CA762" s="46"/>
      <c r="CB762" s="46"/>
      <c r="CC762" s="46"/>
      <c r="CD762" s="46"/>
      <c r="CE762" s="46"/>
      <c r="CF762" s="46"/>
      <c r="CG762" s="46"/>
      <c r="CH762" s="46"/>
      <c r="CI762" s="46"/>
      <c r="CJ762" s="46"/>
      <c r="CK762" s="46"/>
      <c r="CL762" s="46"/>
      <c r="CM762" s="46"/>
      <c r="CN762" s="46"/>
    </row>
    <row r="763">
      <c r="A763" s="46"/>
      <c r="B763" s="46"/>
      <c r="C763" s="46"/>
      <c r="D763" s="46"/>
      <c r="E763" s="46"/>
      <c r="F763" s="46"/>
      <c r="G763" s="46"/>
      <c r="H763" s="46"/>
      <c r="I763" s="46"/>
      <c r="J763" s="46"/>
      <c r="K763" s="46"/>
      <c r="L763" s="51"/>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51"/>
      <c r="BB763" s="46"/>
      <c r="BC763" s="46"/>
      <c r="BD763" s="46"/>
      <c r="BE763" s="46"/>
      <c r="BF763" s="46"/>
      <c r="BG763" s="46"/>
      <c r="BH763" s="46"/>
      <c r="BI763" s="46"/>
      <c r="BJ763" s="46"/>
      <c r="BK763" s="46"/>
      <c r="BL763" s="46"/>
      <c r="BM763" s="46"/>
      <c r="BN763" s="46"/>
      <c r="BO763" s="46"/>
      <c r="BP763" s="46"/>
      <c r="BQ763" s="46"/>
      <c r="BR763" s="46"/>
      <c r="BS763" s="46"/>
      <c r="BT763" s="46"/>
      <c r="BU763" s="46"/>
      <c r="BV763" s="46"/>
      <c r="BW763" s="46"/>
      <c r="BX763" s="46"/>
      <c r="BY763" s="46"/>
      <c r="BZ763" s="46"/>
      <c r="CA763" s="46"/>
      <c r="CB763" s="46"/>
      <c r="CC763" s="46"/>
      <c r="CD763" s="46"/>
      <c r="CE763" s="46"/>
      <c r="CF763" s="46"/>
      <c r="CG763" s="46"/>
      <c r="CH763" s="46"/>
      <c r="CI763" s="46"/>
      <c r="CJ763" s="46"/>
      <c r="CK763" s="46"/>
      <c r="CL763" s="46"/>
      <c r="CM763" s="46"/>
      <c r="CN763" s="46"/>
    </row>
    <row r="764">
      <c r="A764" s="46"/>
      <c r="B764" s="46"/>
      <c r="C764" s="46"/>
      <c r="D764" s="46"/>
      <c r="E764" s="46"/>
      <c r="F764" s="46"/>
      <c r="G764" s="46"/>
      <c r="H764" s="46"/>
      <c r="I764" s="46"/>
      <c r="J764" s="46"/>
      <c r="K764" s="46"/>
      <c r="L764" s="51"/>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51"/>
      <c r="BB764" s="46"/>
      <c r="BC764" s="46"/>
      <c r="BD764" s="46"/>
      <c r="BE764" s="46"/>
      <c r="BF764" s="46"/>
      <c r="BG764" s="46"/>
      <c r="BH764" s="46"/>
      <c r="BI764" s="46"/>
      <c r="BJ764" s="46"/>
      <c r="BK764" s="46"/>
      <c r="BL764" s="46"/>
      <c r="BM764" s="46"/>
      <c r="BN764" s="46"/>
      <c r="BO764" s="46"/>
      <c r="BP764" s="46"/>
      <c r="BQ764" s="46"/>
      <c r="BR764" s="46"/>
      <c r="BS764" s="46"/>
      <c r="BT764" s="46"/>
      <c r="BU764" s="46"/>
      <c r="BV764" s="46"/>
      <c r="BW764" s="46"/>
      <c r="BX764" s="46"/>
      <c r="BY764" s="46"/>
      <c r="BZ764" s="46"/>
      <c r="CA764" s="46"/>
      <c r="CB764" s="46"/>
      <c r="CC764" s="46"/>
      <c r="CD764" s="46"/>
      <c r="CE764" s="46"/>
      <c r="CF764" s="46"/>
      <c r="CG764" s="46"/>
      <c r="CH764" s="46"/>
      <c r="CI764" s="46"/>
      <c r="CJ764" s="46"/>
      <c r="CK764" s="46"/>
      <c r="CL764" s="46"/>
      <c r="CM764" s="46"/>
      <c r="CN764" s="46"/>
    </row>
    <row r="765">
      <c r="A765" s="46"/>
      <c r="B765" s="46"/>
      <c r="C765" s="46"/>
      <c r="D765" s="46"/>
      <c r="E765" s="46"/>
      <c r="F765" s="46"/>
      <c r="G765" s="46"/>
      <c r="H765" s="46"/>
      <c r="I765" s="46"/>
      <c r="J765" s="46"/>
      <c r="K765" s="46"/>
      <c r="L765" s="51"/>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51"/>
      <c r="BB765" s="46"/>
      <c r="BC765" s="46"/>
      <c r="BD765" s="46"/>
      <c r="BE765" s="46"/>
      <c r="BF765" s="46"/>
      <c r="BG765" s="46"/>
      <c r="BH765" s="46"/>
      <c r="BI765" s="46"/>
      <c r="BJ765" s="46"/>
      <c r="BK765" s="46"/>
      <c r="BL765" s="46"/>
      <c r="BM765" s="46"/>
      <c r="BN765" s="46"/>
      <c r="BO765" s="46"/>
      <c r="BP765" s="46"/>
      <c r="BQ765" s="46"/>
      <c r="BR765" s="46"/>
      <c r="BS765" s="46"/>
      <c r="BT765" s="46"/>
      <c r="BU765" s="46"/>
      <c r="BV765" s="46"/>
      <c r="BW765" s="46"/>
      <c r="BX765" s="46"/>
      <c r="BY765" s="46"/>
      <c r="BZ765" s="46"/>
      <c r="CA765" s="46"/>
      <c r="CB765" s="46"/>
      <c r="CC765" s="46"/>
      <c r="CD765" s="46"/>
      <c r="CE765" s="46"/>
      <c r="CF765" s="46"/>
      <c r="CG765" s="46"/>
      <c r="CH765" s="46"/>
      <c r="CI765" s="46"/>
      <c r="CJ765" s="46"/>
      <c r="CK765" s="46"/>
      <c r="CL765" s="46"/>
      <c r="CM765" s="46"/>
      <c r="CN765" s="46"/>
    </row>
    <row r="766">
      <c r="A766" s="46"/>
      <c r="B766" s="46"/>
      <c r="C766" s="46"/>
      <c r="D766" s="46"/>
      <c r="E766" s="46"/>
      <c r="F766" s="46"/>
      <c r="G766" s="46"/>
      <c r="H766" s="46"/>
      <c r="I766" s="46"/>
      <c r="J766" s="46"/>
      <c r="K766" s="46"/>
      <c r="L766" s="51"/>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51"/>
      <c r="BB766" s="46"/>
      <c r="BC766" s="46"/>
      <c r="BD766" s="46"/>
      <c r="BE766" s="46"/>
      <c r="BF766" s="46"/>
      <c r="BG766" s="46"/>
      <c r="BH766" s="46"/>
      <c r="BI766" s="46"/>
      <c r="BJ766" s="46"/>
      <c r="BK766" s="46"/>
      <c r="BL766" s="46"/>
      <c r="BM766" s="46"/>
      <c r="BN766" s="46"/>
      <c r="BO766" s="46"/>
      <c r="BP766" s="46"/>
      <c r="BQ766" s="46"/>
      <c r="BR766" s="46"/>
      <c r="BS766" s="46"/>
      <c r="BT766" s="46"/>
      <c r="BU766" s="46"/>
      <c r="BV766" s="46"/>
      <c r="BW766" s="46"/>
      <c r="BX766" s="46"/>
      <c r="BY766" s="46"/>
      <c r="BZ766" s="46"/>
      <c r="CA766" s="46"/>
      <c r="CB766" s="46"/>
      <c r="CC766" s="46"/>
      <c r="CD766" s="46"/>
      <c r="CE766" s="46"/>
      <c r="CF766" s="46"/>
      <c r="CG766" s="46"/>
      <c r="CH766" s="46"/>
      <c r="CI766" s="46"/>
      <c r="CJ766" s="46"/>
      <c r="CK766" s="46"/>
      <c r="CL766" s="46"/>
      <c r="CM766" s="46"/>
      <c r="CN766" s="46"/>
    </row>
    <row r="767">
      <c r="A767" s="46"/>
      <c r="B767" s="46"/>
      <c r="C767" s="46"/>
      <c r="D767" s="46"/>
      <c r="E767" s="46"/>
      <c r="F767" s="46"/>
      <c r="G767" s="46"/>
      <c r="H767" s="46"/>
      <c r="I767" s="46"/>
      <c r="J767" s="46"/>
      <c r="K767" s="46"/>
      <c r="L767" s="51"/>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51"/>
      <c r="BB767" s="46"/>
      <c r="BC767" s="46"/>
      <c r="BD767" s="46"/>
      <c r="BE767" s="46"/>
      <c r="BF767" s="46"/>
      <c r="BG767" s="46"/>
      <c r="BH767" s="46"/>
      <c r="BI767" s="46"/>
      <c r="BJ767" s="46"/>
      <c r="BK767" s="46"/>
      <c r="BL767" s="46"/>
      <c r="BM767" s="46"/>
      <c r="BN767" s="46"/>
      <c r="BO767" s="46"/>
      <c r="BP767" s="46"/>
      <c r="BQ767" s="46"/>
      <c r="BR767" s="46"/>
      <c r="BS767" s="46"/>
      <c r="BT767" s="46"/>
      <c r="BU767" s="46"/>
      <c r="BV767" s="46"/>
      <c r="BW767" s="46"/>
      <c r="BX767" s="46"/>
      <c r="BY767" s="46"/>
      <c r="BZ767" s="46"/>
      <c r="CA767" s="46"/>
      <c r="CB767" s="46"/>
      <c r="CC767" s="46"/>
      <c r="CD767" s="46"/>
      <c r="CE767" s="46"/>
      <c r="CF767" s="46"/>
      <c r="CG767" s="46"/>
      <c r="CH767" s="46"/>
      <c r="CI767" s="46"/>
      <c r="CJ767" s="46"/>
      <c r="CK767" s="46"/>
      <c r="CL767" s="46"/>
      <c r="CM767" s="46"/>
      <c r="CN767" s="46"/>
    </row>
    <row r="768">
      <c r="A768" s="46"/>
      <c r="B768" s="46"/>
      <c r="C768" s="46"/>
      <c r="D768" s="46"/>
      <c r="E768" s="46"/>
      <c r="F768" s="46"/>
      <c r="G768" s="46"/>
      <c r="H768" s="46"/>
      <c r="I768" s="46"/>
      <c r="J768" s="46"/>
      <c r="K768" s="46"/>
      <c r="L768" s="51"/>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51"/>
      <c r="BB768" s="46"/>
      <c r="BC768" s="46"/>
      <c r="BD768" s="46"/>
      <c r="BE768" s="46"/>
      <c r="BF768" s="46"/>
      <c r="BG768" s="46"/>
      <c r="BH768" s="46"/>
      <c r="BI768" s="46"/>
      <c r="BJ768" s="46"/>
      <c r="BK768" s="46"/>
      <c r="BL768" s="46"/>
      <c r="BM768" s="46"/>
      <c r="BN768" s="46"/>
      <c r="BO768" s="46"/>
      <c r="BP768" s="46"/>
      <c r="BQ768" s="46"/>
      <c r="BR768" s="46"/>
      <c r="BS768" s="46"/>
      <c r="BT768" s="46"/>
      <c r="BU768" s="46"/>
      <c r="BV768" s="46"/>
      <c r="BW768" s="46"/>
      <c r="BX768" s="46"/>
      <c r="BY768" s="46"/>
      <c r="BZ768" s="46"/>
      <c r="CA768" s="46"/>
      <c r="CB768" s="46"/>
      <c r="CC768" s="46"/>
      <c r="CD768" s="46"/>
      <c r="CE768" s="46"/>
      <c r="CF768" s="46"/>
      <c r="CG768" s="46"/>
      <c r="CH768" s="46"/>
      <c r="CI768" s="46"/>
      <c r="CJ768" s="46"/>
      <c r="CK768" s="46"/>
      <c r="CL768" s="46"/>
      <c r="CM768" s="46"/>
      <c r="CN768" s="46"/>
    </row>
    <row r="769">
      <c r="A769" s="46"/>
      <c r="B769" s="46"/>
      <c r="C769" s="46"/>
      <c r="D769" s="46"/>
      <c r="E769" s="46"/>
      <c r="F769" s="46"/>
      <c r="G769" s="46"/>
      <c r="H769" s="46"/>
      <c r="I769" s="46"/>
      <c r="J769" s="46"/>
      <c r="K769" s="46"/>
      <c r="L769" s="51"/>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51"/>
      <c r="BB769" s="46"/>
      <c r="BC769" s="46"/>
      <c r="BD769" s="46"/>
      <c r="BE769" s="46"/>
      <c r="BF769" s="46"/>
      <c r="BG769" s="46"/>
      <c r="BH769" s="46"/>
      <c r="BI769" s="46"/>
      <c r="BJ769" s="46"/>
      <c r="BK769" s="46"/>
      <c r="BL769" s="46"/>
      <c r="BM769" s="46"/>
      <c r="BN769" s="46"/>
      <c r="BO769" s="46"/>
      <c r="BP769" s="46"/>
      <c r="BQ769" s="46"/>
      <c r="BR769" s="46"/>
      <c r="BS769" s="46"/>
      <c r="BT769" s="46"/>
      <c r="BU769" s="46"/>
      <c r="BV769" s="46"/>
      <c r="BW769" s="46"/>
      <c r="BX769" s="46"/>
      <c r="BY769" s="46"/>
      <c r="BZ769" s="46"/>
      <c r="CA769" s="46"/>
      <c r="CB769" s="46"/>
      <c r="CC769" s="46"/>
      <c r="CD769" s="46"/>
      <c r="CE769" s="46"/>
      <c r="CF769" s="46"/>
      <c r="CG769" s="46"/>
      <c r="CH769" s="46"/>
      <c r="CI769" s="46"/>
      <c r="CJ769" s="46"/>
      <c r="CK769" s="46"/>
      <c r="CL769" s="46"/>
      <c r="CM769" s="46"/>
      <c r="CN769" s="46"/>
    </row>
    <row r="770">
      <c r="A770" s="46"/>
      <c r="B770" s="46"/>
      <c r="C770" s="46"/>
      <c r="D770" s="46"/>
      <c r="E770" s="46"/>
      <c r="F770" s="46"/>
      <c r="G770" s="46"/>
      <c r="H770" s="46"/>
      <c r="I770" s="46"/>
      <c r="J770" s="46"/>
      <c r="K770" s="46"/>
      <c r="L770" s="51"/>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51"/>
      <c r="BB770" s="46"/>
      <c r="BC770" s="46"/>
      <c r="BD770" s="46"/>
      <c r="BE770" s="46"/>
      <c r="BF770" s="46"/>
      <c r="BG770" s="46"/>
      <c r="BH770" s="46"/>
      <c r="BI770" s="46"/>
      <c r="BJ770" s="46"/>
      <c r="BK770" s="46"/>
      <c r="BL770" s="46"/>
      <c r="BM770" s="46"/>
      <c r="BN770" s="46"/>
      <c r="BO770" s="46"/>
      <c r="BP770" s="46"/>
      <c r="BQ770" s="46"/>
      <c r="BR770" s="46"/>
      <c r="BS770" s="46"/>
      <c r="BT770" s="46"/>
      <c r="BU770" s="46"/>
      <c r="BV770" s="46"/>
      <c r="BW770" s="46"/>
      <c r="BX770" s="46"/>
      <c r="BY770" s="46"/>
      <c r="BZ770" s="46"/>
      <c r="CA770" s="46"/>
      <c r="CB770" s="46"/>
      <c r="CC770" s="46"/>
      <c r="CD770" s="46"/>
      <c r="CE770" s="46"/>
      <c r="CF770" s="46"/>
      <c r="CG770" s="46"/>
      <c r="CH770" s="46"/>
      <c r="CI770" s="46"/>
      <c r="CJ770" s="46"/>
      <c r="CK770" s="46"/>
      <c r="CL770" s="46"/>
      <c r="CM770" s="46"/>
      <c r="CN770" s="46"/>
    </row>
    <row r="771">
      <c r="A771" s="46"/>
      <c r="B771" s="46"/>
      <c r="C771" s="46"/>
      <c r="D771" s="46"/>
      <c r="E771" s="46"/>
      <c r="F771" s="46"/>
      <c r="G771" s="46"/>
      <c r="H771" s="46"/>
      <c r="I771" s="46"/>
      <c r="J771" s="46"/>
      <c r="K771" s="46"/>
      <c r="L771" s="51"/>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51"/>
      <c r="BB771" s="46"/>
      <c r="BC771" s="46"/>
      <c r="BD771" s="46"/>
      <c r="BE771" s="46"/>
      <c r="BF771" s="46"/>
      <c r="BG771" s="46"/>
      <c r="BH771" s="46"/>
      <c r="BI771" s="46"/>
      <c r="BJ771" s="46"/>
      <c r="BK771" s="46"/>
      <c r="BL771" s="46"/>
      <c r="BM771" s="46"/>
      <c r="BN771" s="46"/>
      <c r="BO771" s="46"/>
      <c r="BP771" s="46"/>
      <c r="BQ771" s="46"/>
      <c r="BR771" s="46"/>
      <c r="BS771" s="46"/>
      <c r="BT771" s="46"/>
      <c r="BU771" s="46"/>
      <c r="BV771" s="46"/>
      <c r="BW771" s="46"/>
      <c r="BX771" s="46"/>
      <c r="BY771" s="46"/>
      <c r="BZ771" s="46"/>
      <c r="CA771" s="46"/>
      <c r="CB771" s="46"/>
      <c r="CC771" s="46"/>
      <c r="CD771" s="46"/>
      <c r="CE771" s="46"/>
      <c r="CF771" s="46"/>
      <c r="CG771" s="46"/>
      <c r="CH771" s="46"/>
      <c r="CI771" s="46"/>
      <c r="CJ771" s="46"/>
      <c r="CK771" s="46"/>
      <c r="CL771" s="46"/>
      <c r="CM771" s="46"/>
      <c r="CN771" s="46"/>
    </row>
    <row r="772">
      <c r="A772" s="46"/>
      <c r="B772" s="46"/>
      <c r="C772" s="46"/>
      <c r="D772" s="46"/>
      <c r="E772" s="46"/>
      <c r="F772" s="46"/>
      <c r="G772" s="46"/>
      <c r="H772" s="46"/>
      <c r="I772" s="46"/>
      <c r="J772" s="46"/>
      <c r="K772" s="46"/>
      <c r="L772" s="51"/>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51"/>
      <c r="BB772" s="46"/>
      <c r="BC772" s="46"/>
      <c r="BD772" s="46"/>
      <c r="BE772" s="46"/>
      <c r="BF772" s="46"/>
      <c r="BG772" s="46"/>
      <c r="BH772" s="46"/>
      <c r="BI772" s="46"/>
      <c r="BJ772" s="46"/>
      <c r="BK772" s="46"/>
      <c r="BL772" s="46"/>
      <c r="BM772" s="46"/>
      <c r="BN772" s="46"/>
      <c r="BO772" s="46"/>
      <c r="BP772" s="46"/>
      <c r="BQ772" s="46"/>
      <c r="BR772" s="46"/>
      <c r="BS772" s="46"/>
      <c r="BT772" s="46"/>
      <c r="BU772" s="46"/>
      <c r="BV772" s="46"/>
      <c r="BW772" s="46"/>
      <c r="BX772" s="46"/>
      <c r="BY772" s="46"/>
      <c r="BZ772" s="46"/>
      <c r="CA772" s="46"/>
      <c r="CB772" s="46"/>
      <c r="CC772" s="46"/>
      <c r="CD772" s="46"/>
      <c r="CE772" s="46"/>
      <c r="CF772" s="46"/>
      <c r="CG772" s="46"/>
      <c r="CH772" s="46"/>
      <c r="CI772" s="46"/>
      <c r="CJ772" s="46"/>
      <c r="CK772" s="46"/>
      <c r="CL772" s="46"/>
      <c r="CM772" s="46"/>
      <c r="CN772" s="46"/>
    </row>
    <row r="773">
      <c r="A773" s="46"/>
      <c r="B773" s="46"/>
      <c r="C773" s="46"/>
      <c r="D773" s="46"/>
      <c r="E773" s="46"/>
      <c r="F773" s="46"/>
      <c r="G773" s="46"/>
      <c r="H773" s="46"/>
      <c r="I773" s="46"/>
      <c r="J773" s="46"/>
      <c r="K773" s="46"/>
      <c r="L773" s="51"/>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51"/>
      <c r="BB773" s="46"/>
      <c r="BC773" s="46"/>
      <c r="BD773" s="46"/>
      <c r="BE773" s="46"/>
      <c r="BF773" s="46"/>
      <c r="BG773" s="46"/>
      <c r="BH773" s="46"/>
      <c r="BI773" s="46"/>
      <c r="BJ773" s="46"/>
      <c r="BK773" s="46"/>
      <c r="BL773" s="46"/>
      <c r="BM773" s="46"/>
      <c r="BN773" s="46"/>
      <c r="BO773" s="46"/>
      <c r="BP773" s="46"/>
      <c r="BQ773" s="46"/>
      <c r="BR773" s="46"/>
      <c r="BS773" s="46"/>
      <c r="BT773" s="46"/>
      <c r="BU773" s="46"/>
      <c r="BV773" s="46"/>
      <c r="BW773" s="46"/>
      <c r="BX773" s="46"/>
      <c r="BY773" s="46"/>
      <c r="BZ773" s="46"/>
      <c r="CA773" s="46"/>
      <c r="CB773" s="46"/>
      <c r="CC773" s="46"/>
      <c r="CD773" s="46"/>
      <c r="CE773" s="46"/>
      <c r="CF773" s="46"/>
      <c r="CG773" s="46"/>
      <c r="CH773" s="46"/>
      <c r="CI773" s="46"/>
      <c r="CJ773" s="46"/>
      <c r="CK773" s="46"/>
      <c r="CL773" s="46"/>
      <c r="CM773" s="46"/>
      <c r="CN773" s="46"/>
    </row>
    <row r="774">
      <c r="A774" s="46"/>
      <c r="B774" s="46"/>
      <c r="C774" s="46"/>
      <c r="D774" s="46"/>
      <c r="E774" s="46"/>
      <c r="F774" s="46"/>
      <c r="G774" s="46"/>
      <c r="H774" s="46"/>
      <c r="I774" s="46"/>
      <c r="J774" s="46"/>
      <c r="K774" s="46"/>
      <c r="L774" s="51"/>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51"/>
      <c r="BB774" s="46"/>
      <c r="BC774" s="46"/>
      <c r="BD774" s="46"/>
      <c r="BE774" s="46"/>
      <c r="BF774" s="46"/>
      <c r="BG774" s="46"/>
      <c r="BH774" s="46"/>
      <c r="BI774" s="46"/>
      <c r="BJ774" s="46"/>
      <c r="BK774" s="46"/>
      <c r="BL774" s="46"/>
      <c r="BM774" s="46"/>
      <c r="BN774" s="46"/>
      <c r="BO774" s="46"/>
      <c r="BP774" s="46"/>
      <c r="BQ774" s="46"/>
      <c r="BR774" s="46"/>
      <c r="BS774" s="46"/>
      <c r="BT774" s="46"/>
      <c r="BU774" s="46"/>
      <c r="BV774" s="46"/>
      <c r="BW774" s="46"/>
      <c r="BX774" s="46"/>
      <c r="BY774" s="46"/>
      <c r="BZ774" s="46"/>
      <c r="CA774" s="46"/>
      <c r="CB774" s="46"/>
      <c r="CC774" s="46"/>
      <c r="CD774" s="46"/>
      <c r="CE774" s="46"/>
      <c r="CF774" s="46"/>
      <c r="CG774" s="46"/>
      <c r="CH774" s="46"/>
      <c r="CI774" s="46"/>
      <c r="CJ774" s="46"/>
      <c r="CK774" s="46"/>
      <c r="CL774" s="46"/>
      <c r="CM774" s="46"/>
      <c r="CN774" s="46"/>
    </row>
    <row r="775">
      <c r="A775" s="46"/>
      <c r="B775" s="46"/>
      <c r="C775" s="46"/>
      <c r="D775" s="46"/>
      <c r="E775" s="46"/>
      <c r="F775" s="46"/>
      <c r="G775" s="46"/>
      <c r="H775" s="46"/>
      <c r="I775" s="46"/>
      <c r="J775" s="46"/>
      <c r="K775" s="46"/>
      <c r="L775" s="51"/>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51"/>
      <c r="BB775" s="46"/>
      <c r="BC775" s="46"/>
      <c r="BD775" s="46"/>
      <c r="BE775" s="46"/>
      <c r="BF775" s="46"/>
      <c r="BG775" s="46"/>
      <c r="BH775" s="46"/>
      <c r="BI775" s="46"/>
      <c r="BJ775" s="46"/>
      <c r="BK775" s="46"/>
      <c r="BL775" s="46"/>
      <c r="BM775" s="46"/>
      <c r="BN775" s="46"/>
      <c r="BO775" s="46"/>
      <c r="BP775" s="46"/>
      <c r="BQ775" s="46"/>
      <c r="BR775" s="46"/>
      <c r="BS775" s="46"/>
      <c r="BT775" s="46"/>
      <c r="BU775" s="46"/>
      <c r="BV775" s="46"/>
      <c r="BW775" s="46"/>
      <c r="BX775" s="46"/>
      <c r="BY775" s="46"/>
      <c r="BZ775" s="46"/>
      <c r="CA775" s="46"/>
      <c r="CB775" s="46"/>
      <c r="CC775" s="46"/>
      <c r="CD775" s="46"/>
      <c r="CE775" s="46"/>
      <c r="CF775" s="46"/>
      <c r="CG775" s="46"/>
      <c r="CH775" s="46"/>
      <c r="CI775" s="46"/>
      <c r="CJ775" s="46"/>
      <c r="CK775" s="46"/>
      <c r="CL775" s="46"/>
      <c r="CM775" s="46"/>
      <c r="CN775" s="46"/>
    </row>
    <row r="776">
      <c r="A776" s="46"/>
      <c r="B776" s="46"/>
      <c r="C776" s="46"/>
      <c r="D776" s="46"/>
      <c r="E776" s="46"/>
      <c r="F776" s="46"/>
      <c r="G776" s="46"/>
      <c r="H776" s="46"/>
      <c r="I776" s="46"/>
      <c r="J776" s="46"/>
      <c r="K776" s="46"/>
      <c r="L776" s="51"/>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51"/>
      <c r="BB776" s="46"/>
      <c r="BC776" s="46"/>
      <c r="BD776" s="46"/>
      <c r="BE776" s="46"/>
      <c r="BF776" s="46"/>
      <c r="BG776" s="46"/>
      <c r="BH776" s="46"/>
      <c r="BI776" s="46"/>
      <c r="BJ776" s="46"/>
      <c r="BK776" s="46"/>
      <c r="BL776" s="46"/>
      <c r="BM776" s="46"/>
      <c r="BN776" s="46"/>
      <c r="BO776" s="46"/>
      <c r="BP776" s="46"/>
      <c r="BQ776" s="46"/>
      <c r="BR776" s="46"/>
      <c r="BS776" s="46"/>
      <c r="BT776" s="46"/>
      <c r="BU776" s="46"/>
      <c r="BV776" s="46"/>
      <c r="BW776" s="46"/>
      <c r="BX776" s="46"/>
      <c r="BY776" s="46"/>
      <c r="BZ776" s="46"/>
      <c r="CA776" s="46"/>
      <c r="CB776" s="46"/>
      <c r="CC776" s="46"/>
      <c r="CD776" s="46"/>
      <c r="CE776" s="46"/>
      <c r="CF776" s="46"/>
      <c r="CG776" s="46"/>
      <c r="CH776" s="46"/>
      <c r="CI776" s="46"/>
      <c r="CJ776" s="46"/>
      <c r="CK776" s="46"/>
      <c r="CL776" s="46"/>
      <c r="CM776" s="46"/>
      <c r="CN776" s="46"/>
    </row>
    <row r="777">
      <c r="A777" s="46"/>
      <c r="B777" s="46"/>
      <c r="C777" s="46"/>
      <c r="D777" s="46"/>
      <c r="E777" s="46"/>
      <c r="F777" s="46"/>
      <c r="G777" s="46"/>
      <c r="H777" s="46"/>
      <c r="I777" s="46"/>
      <c r="J777" s="46"/>
      <c r="K777" s="46"/>
      <c r="L777" s="51"/>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51"/>
      <c r="BB777" s="46"/>
      <c r="BC777" s="46"/>
      <c r="BD777" s="46"/>
      <c r="BE777" s="46"/>
      <c r="BF777" s="46"/>
      <c r="BG777" s="46"/>
      <c r="BH777" s="46"/>
      <c r="BI777" s="46"/>
      <c r="BJ777" s="46"/>
      <c r="BK777" s="46"/>
      <c r="BL777" s="46"/>
      <c r="BM777" s="46"/>
      <c r="BN777" s="46"/>
      <c r="BO777" s="46"/>
      <c r="BP777" s="46"/>
      <c r="BQ777" s="46"/>
      <c r="BR777" s="46"/>
      <c r="BS777" s="46"/>
      <c r="BT777" s="46"/>
      <c r="BU777" s="46"/>
      <c r="BV777" s="46"/>
      <c r="BW777" s="46"/>
      <c r="BX777" s="46"/>
      <c r="BY777" s="46"/>
      <c r="BZ777" s="46"/>
      <c r="CA777" s="46"/>
      <c r="CB777" s="46"/>
      <c r="CC777" s="46"/>
      <c r="CD777" s="46"/>
      <c r="CE777" s="46"/>
      <c r="CF777" s="46"/>
      <c r="CG777" s="46"/>
      <c r="CH777" s="46"/>
      <c r="CI777" s="46"/>
      <c r="CJ777" s="46"/>
      <c r="CK777" s="46"/>
      <c r="CL777" s="46"/>
      <c r="CM777" s="46"/>
      <c r="CN777" s="46"/>
    </row>
    <row r="778">
      <c r="A778" s="46"/>
      <c r="B778" s="46"/>
      <c r="C778" s="46"/>
      <c r="D778" s="46"/>
      <c r="E778" s="46"/>
      <c r="F778" s="46"/>
      <c r="G778" s="46"/>
      <c r="H778" s="46"/>
      <c r="I778" s="46"/>
      <c r="J778" s="46"/>
      <c r="K778" s="46"/>
      <c r="L778" s="51"/>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51"/>
      <c r="BB778" s="46"/>
      <c r="BC778" s="46"/>
      <c r="BD778" s="46"/>
      <c r="BE778" s="46"/>
      <c r="BF778" s="46"/>
      <c r="BG778" s="46"/>
      <c r="BH778" s="46"/>
      <c r="BI778" s="46"/>
      <c r="BJ778" s="46"/>
      <c r="BK778" s="46"/>
      <c r="BL778" s="46"/>
      <c r="BM778" s="46"/>
      <c r="BN778" s="46"/>
      <c r="BO778" s="46"/>
      <c r="BP778" s="46"/>
      <c r="BQ778" s="46"/>
      <c r="BR778" s="46"/>
      <c r="BS778" s="46"/>
      <c r="BT778" s="46"/>
      <c r="BU778" s="46"/>
      <c r="BV778" s="46"/>
      <c r="BW778" s="46"/>
      <c r="BX778" s="46"/>
      <c r="BY778" s="46"/>
      <c r="BZ778" s="46"/>
      <c r="CA778" s="46"/>
      <c r="CB778" s="46"/>
      <c r="CC778" s="46"/>
      <c r="CD778" s="46"/>
      <c r="CE778" s="46"/>
      <c r="CF778" s="46"/>
      <c r="CG778" s="46"/>
      <c r="CH778" s="46"/>
      <c r="CI778" s="46"/>
      <c r="CJ778" s="46"/>
      <c r="CK778" s="46"/>
      <c r="CL778" s="46"/>
      <c r="CM778" s="46"/>
      <c r="CN778" s="46"/>
    </row>
    <row r="779">
      <c r="A779" s="46"/>
      <c r="B779" s="46"/>
      <c r="C779" s="46"/>
      <c r="D779" s="46"/>
      <c r="E779" s="46"/>
      <c r="F779" s="46"/>
      <c r="G779" s="46"/>
      <c r="H779" s="46"/>
      <c r="I779" s="46"/>
      <c r="J779" s="46"/>
      <c r="K779" s="46"/>
      <c r="L779" s="51"/>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51"/>
      <c r="BB779" s="46"/>
      <c r="BC779" s="46"/>
      <c r="BD779" s="46"/>
      <c r="BE779" s="46"/>
      <c r="BF779" s="46"/>
      <c r="BG779" s="46"/>
      <c r="BH779" s="46"/>
      <c r="BI779" s="46"/>
      <c r="BJ779" s="46"/>
      <c r="BK779" s="46"/>
      <c r="BL779" s="46"/>
      <c r="BM779" s="46"/>
      <c r="BN779" s="46"/>
      <c r="BO779" s="46"/>
      <c r="BP779" s="46"/>
      <c r="BQ779" s="46"/>
      <c r="BR779" s="46"/>
      <c r="BS779" s="46"/>
      <c r="BT779" s="46"/>
      <c r="BU779" s="46"/>
      <c r="BV779" s="46"/>
      <c r="BW779" s="46"/>
      <c r="BX779" s="46"/>
      <c r="BY779" s="46"/>
      <c r="BZ779" s="46"/>
      <c r="CA779" s="46"/>
      <c r="CB779" s="46"/>
      <c r="CC779" s="46"/>
      <c r="CD779" s="46"/>
      <c r="CE779" s="46"/>
      <c r="CF779" s="46"/>
      <c r="CG779" s="46"/>
      <c r="CH779" s="46"/>
      <c r="CI779" s="46"/>
      <c r="CJ779" s="46"/>
      <c r="CK779" s="46"/>
      <c r="CL779" s="46"/>
      <c r="CM779" s="46"/>
      <c r="CN779" s="46"/>
    </row>
    <row r="780">
      <c r="A780" s="46"/>
      <c r="B780" s="46"/>
      <c r="C780" s="46"/>
      <c r="D780" s="46"/>
      <c r="E780" s="46"/>
      <c r="F780" s="46"/>
      <c r="G780" s="46"/>
      <c r="H780" s="46"/>
      <c r="I780" s="46"/>
      <c r="J780" s="46"/>
      <c r="K780" s="46"/>
      <c r="L780" s="51"/>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51"/>
      <c r="BB780" s="46"/>
      <c r="BC780" s="46"/>
      <c r="BD780" s="46"/>
      <c r="BE780" s="46"/>
      <c r="BF780" s="46"/>
      <c r="BG780" s="46"/>
      <c r="BH780" s="46"/>
      <c r="BI780" s="46"/>
      <c r="BJ780" s="46"/>
      <c r="BK780" s="46"/>
      <c r="BL780" s="46"/>
      <c r="BM780" s="46"/>
      <c r="BN780" s="46"/>
      <c r="BO780" s="46"/>
      <c r="BP780" s="46"/>
      <c r="BQ780" s="46"/>
      <c r="BR780" s="46"/>
      <c r="BS780" s="46"/>
      <c r="BT780" s="46"/>
      <c r="BU780" s="46"/>
      <c r="BV780" s="46"/>
      <c r="BW780" s="46"/>
      <c r="BX780" s="46"/>
      <c r="BY780" s="46"/>
      <c r="BZ780" s="46"/>
      <c r="CA780" s="46"/>
      <c r="CB780" s="46"/>
      <c r="CC780" s="46"/>
      <c r="CD780" s="46"/>
      <c r="CE780" s="46"/>
      <c r="CF780" s="46"/>
      <c r="CG780" s="46"/>
      <c r="CH780" s="46"/>
      <c r="CI780" s="46"/>
      <c r="CJ780" s="46"/>
      <c r="CK780" s="46"/>
      <c r="CL780" s="46"/>
      <c r="CM780" s="46"/>
      <c r="CN780" s="46"/>
    </row>
    <row r="781">
      <c r="A781" s="46"/>
      <c r="B781" s="46"/>
      <c r="C781" s="46"/>
      <c r="D781" s="46"/>
      <c r="E781" s="46"/>
      <c r="F781" s="46"/>
      <c r="G781" s="46"/>
      <c r="H781" s="46"/>
      <c r="I781" s="46"/>
      <c r="J781" s="46"/>
      <c r="K781" s="46"/>
      <c r="L781" s="51"/>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51"/>
      <c r="BB781" s="46"/>
      <c r="BC781" s="46"/>
      <c r="BD781" s="46"/>
      <c r="BE781" s="46"/>
      <c r="BF781" s="46"/>
      <c r="BG781" s="46"/>
      <c r="BH781" s="46"/>
      <c r="BI781" s="46"/>
      <c r="BJ781" s="46"/>
      <c r="BK781" s="46"/>
      <c r="BL781" s="46"/>
      <c r="BM781" s="46"/>
      <c r="BN781" s="46"/>
      <c r="BO781" s="46"/>
      <c r="BP781" s="46"/>
      <c r="BQ781" s="46"/>
      <c r="BR781" s="46"/>
      <c r="BS781" s="46"/>
      <c r="BT781" s="46"/>
      <c r="BU781" s="46"/>
      <c r="BV781" s="46"/>
      <c r="BW781" s="46"/>
      <c r="BX781" s="46"/>
      <c r="BY781" s="46"/>
      <c r="BZ781" s="46"/>
      <c r="CA781" s="46"/>
      <c r="CB781" s="46"/>
      <c r="CC781" s="46"/>
      <c r="CD781" s="46"/>
      <c r="CE781" s="46"/>
      <c r="CF781" s="46"/>
      <c r="CG781" s="46"/>
      <c r="CH781" s="46"/>
      <c r="CI781" s="46"/>
      <c r="CJ781" s="46"/>
      <c r="CK781" s="46"/>
      <c r="CL781" s="46"/>
      <c r="CM781" s="46"/>
      <c r="CN781" s="46"/>
    </row>
    <row r="782">
      <c r="A782" s="46"/>
      <c r="B782" s="46"/>
      <c r="C782" s="46"/>
      <c r="D782" s="46"/>
      <c r="E782" s="46"/>
      <c r="F782" s="46"/>
      <c r="G782" s="46"/>
      <c r="H782" s="46"/>
      <c r="I782" s="46"/>
      <c r="J782" s="46"/>
      <c r="K782" s="46"/>
      <c r="L782" s="51"/>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51"/>
      <c r="BB782" s="46"/>
      <c r="BC782" s="46"/>
      <c r="BD782" s="46"/>
      <c r="BE782" s="46"/>
      <c r="BF782" s="46"/>
      <c r="BG782" s="46"/>
      <c r="BH782" s="46"/>
      <c r="BI782" s="46"/>
      <c r="BJ782" s="46"/>
      <c r="BK782" s="46"/>
      <c r="BL782" s="46"/>
      <c r="BM782" s="46"/>
      <c r="BN782" s="46"/>
      <c r="BO782" s="46"/>
      <c r="BP782" s="46"/>
      <c r="BQ782" s="46"/>
      <c r="BR782" s="46"/>
      <c r="BS782" s="46"/>
      <c r="BT782" s="46"/>
      <c r="BU782" s="46"/>
      <c r="BV782" s="46"/>
      <c r="BW782" s="46"/>
      <c r="BX782" s="46"/>
      <c r="BY782" s="46"/>
      <c r="BZ782" s="46"/>
      <c r="CA782" s="46"/>
      <c r="CB782" s="46"/>
      <c r="CC782" s="46"/>
      <c r="CD782" s="46"/>
      <c r="CE782" s="46"/>
      <c r="CF782" s="46"/>
      <c r="CG782" s="46"/>
      <c r="CH782" s="46"/>
      <c r="CI782" s="46"/>
      <c r="CJ782" s="46"/>
      <c r="CK782" s="46"/>
      <c r="CL782" s="46"/>
      <c r="CM782" s="46"/>
      <c r="CN782" s="46"/>
    </row>
    <row r="783">
      <c r="A783" s="46"/>
      <c r="B783" s="46"/>
      <c r="C783" s="46"/>
      <c r="D783" s="46"/>
      <c r="E783" s="46"/>
      <c r="F783" s="46"/>
      <c r="G783" s="46"/>
      <c r="H783" s="46"/>
      <c r="I783" s="46"/>
      <c r="J783" s="46"/>
      <c r="K783" s="46"/>
      <c r="L783" s="51"/>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51"/>
      <c r="BB783" s="46"/>
      <c r="BC783" s="46"/>
      <c r="BD783" s="46"/>
      <c r="BE783" s="46"/>
      <c r="BF783" s="46"/>
      <c r="BG783" s="46"/>
      <c r="BH783" s="46"/>
      <c r="BI783" s="46"/>
      <c r="BJ783" s="46"/>
      <c r="BK783" s="46"/>
      <c r="BL783" s="46"/>
      <c r="BM783" s="46"/>
      <c r="BN783" s="46"/>
      <c r="BO783" s="46"/>
      <c r="BP783" s="46"/>
      <c r="BQ783" s="46"/>
      <c r="BR783" s="46"/>
      <c r="BS783" s="46"/>
      <c r="BT783" s="46"/>
      <c r="BU783" s="46"/>
      <c r="BV783" s="46"/>
      <c r="BW783" s="46"/>
      <c r="BX783" s="46"/>
      <c r="BY783" s="46"/>
      <c r="BZ783" s="46"/>
      <c r="CA783" s="46"/>
      <c r="CB783" s="46"/>
      <c r="CC783" s="46"/>
      <c r="CD783" s="46"/>
      <c r="CE783" s="46"/>
      <c r="CF783" s="46"/>
      <c r="CG783" s="46"/>
      <c r="CH783" s="46"/>
      <c r="CI783" s="46"/>
      <c r="CJ783" s="46"/>
      <c r="CK783" s="46"/>
      <c r="CL783" s="46"/>
      <c r="CM783" s="46"/>
      <c r="CN783" s="46"/>
    </row>
    <row r="784">
      <c r="A784" s="46"/>
      <c r="B784" s="46"/>
      <c r="C784" s="46"/>
      <c r="D784" s="46"/>
      <c r="E784" s="46"/>
      <c r="F784" s="46"/>
      <c r="G784" s="46"/>
      <c r="H784" s="46"/>
      <c r="I784" s="46"/>
      <c r="J784" s="46"/>
      <c r="K784" s="46"/>
      <c r="L784" s="51"/>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51"/>
      <c r="BB784" s="46"/>
      <c r="BC784" s="46"/>
      <c r="BD784" s="46"/>
      <c r="BE784" s="46"/>
      <c r="BF784" s="46"/>
      <c r="BG784" s="46"/>
      <c r="BH784" s="46"/>
      <c r="BI784" s="46"/>
      <c r="BJ784" s="46"/>
      <c r="BK784" s="46"/>
      <c r="BL784" s="46"/>
      <c r="BM784" s="46"/>
      <c r="BN784" s="46"/>
      <c r="BO784" s="46"/>
      <c r="BP784" s="46"/>
      <c r="BQ784" s="46"/>
      <c r="BR784" s="46"/>
      <c r="BS784" s="46"/>
      <c r="BT784" s="46"/>
      <c r="BU784" s="46"/>
      <c r="BV784" s="46"/>
      <c r="BW784" s="46"/>
      <c r="BX784" s="46"/>
      <c r="BY784" s="46"/>
      <c r="BZ784" s="46"/>
      <c r="CA784" s="46"/>
      <c r="CB784" s="46"/>
      <c r="CC784" s="46"/>
      <c r="CD784" s="46"/>
      <c r="CE784" s="46"/>
      <c r="CF784" s="46"/>
      <c r="CG784" s="46"/>
      <c r="CH784" s="46"/>
      <c r="CI784" s="46"/>
      <c r="CJ784" s="46"/>
      <c r="CK784" s="46"/>
      <c r="CL784" s="46"/>
      <c r="CM784" s="46"/>
      <c r="CN784" s="46"/>
    </row>
    <row r="785">
      <c r="A785" s="46"/>
      <c r="B785" s="46"/>
      <c r="C785" s="46"/>
      <c r="D785" s="46"/>
      <c r="E785" s="46"/>
      <c r="F785" s="46"/>
      <c r="G785" s="46"/>
      <c r="H785" s="46"/>
      <c r="I785" s="46"/>
      <c r="J785" s="46"/>
      <c r="K785" s="46"/>
      <c r="L785" s="51"/>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51"/>
      <c r="BB785" s="46"/>
      <c r="BC785" s="46"/>
      <c r="BD785" s="46"/>
      <c r="BE785" s="46"/>
      <c r="BF785" s="46"/>
      <c r="BG785" s="46"/>
      <c r="BH785" s="46"/>
      <c r="BI785" s="46"/>
      <c r="BJ785" s="46"/>
      <c r="BK785" s="46"/>
      <c r="BL785" s="46"/>
      <c r="BM785" s="46"/>
      <c r="BN785" s="46"/>
      <c r="BO785" s="46"/>
      <c r="BP785" s="46"/>
      <c r="BQ785" s="46"/>
      <c r="BR785" s="46"/>
      <c r="BS785" s="46"/>
      <c r="BT785" s="46"/>
      <c r="BU785" s="46"/>
      <c r="BV785" s="46"/>
      <c r="BW785" s="46"/>
      <c r="BX785" s="46"/>
      <c r="BY785" s="46"/>
      <c r="BZ785" s="46"/>
      <c r="CA785" s="46"/>
      <c r="CB785" s="46"/>
      <c r="CC785" s="46"/>
      <c r="CD785" s="46"/>
      <c r="CE785" s="46"/>
      <c r="CF785" s="46"/>
      <c r="CG785" s="46"/>
      <c r="CH785" s="46"/>
      <c r="CI785" s="46"/>
      <c r="CJ785" s="46"/>
      <c r="CK785" s="46"/>
      <c r="CL785" s="46"/>
      <c r="CM785" s="46"/>
      <c r="CN785" s="46"/>
    </row>
    <row r="786">
      <c r="A786" s="46"/>
      <c r="B786" s="46"/>
      <c r="C786" s="46"/>
      <c r="D786" s="46"/>
      <c r="E786" s="46"/>
      <c r="F786" s="46"/>
      <c r="G786" s="46"/>
      <c r="H786" s="46"/>
      <c r="I786" s="46"/>
      <c r="J786" s="46"/>
      <c r="K786" s="46"/>
      <c r="L786" s="51"/>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51"/>
      <c r="BB786" s="46"/>
      <c r="BC786" s="46"/>
      <c r="BD786" s="46"/>
      <c r="BE786" s="46"/>
      <c r="BF786" s="46"/>
      <c r="BG786" s="46"/>
      <c r="BH786" s="46"/>
      <c r="BI786" s="46"/>
      <c r="BJ786" s="46"/>
      <c r="BK786" s="46"/>
      <c r="BL786" s="46"/>
      <c r="BM786" s="46"/>
      <c r="BN786" s="46"/>
      <c r="BO786" s="46"/>
      <c r="BP786" s="46"/>
      <c r="BQ786" s="46"/>
      <c r="BR786" s="46"/>
      <c r="BS786" s="46"/>
      <c r="BT786" s="46"/>
      <c r="BU786" s="46"/>
      <c r="BV786" s="46"/>
      <c r="BW786" s="46"/>
      <c r="BX786" s="46"/>
      <c r="BY786" s="46"/>
      <c r="BZ786" s="46"/>
      <c r="CA786" s="46"/>
      <c r="CB786" s="46"/>
      <c r="CC786" s="46"/>
      <c r="CD786" s="46"/>
      <c r="CE786" s="46"/>
      <c r="CF786" s="46"/>
      <c r="CG786" s="46"/>
      <c r="CH786" s="46"/>
      <c r="CI786" s="46"/>
      <c r="CJ786" s="46"/>
      <c r="CK786" s="46"/>
      <c r="CL786" s="46"/>
      <c r="CM786" s="46"/>
      <c r="CN786" s="46"/>
    </row>
    <row r="787">
      <c r="A787" s="46"/>
      <c r="B787" s="46"/>
      <c r="C787" s="46"/>
      <c r="D787" s="46"/>
      <c r="E787" s="46"/>
      <c r="F787" s="46"/>
      <c r="G787" s="46"/>
      <c r="H787" s="46"/>
      <c r="I787" s="46"/>
      <c r="J787" s="46"/>
      <c r="K787" s="46"/>
      <c r="L787" s="51"/>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51"/>
      <c r="BB787" s="46"/>
      <c r="BC787" s="46"/>
      <c r="BD787" s="46"/>
      <c r="BE787" s="46"/>
      <c r="BF787" s="46"/>
      <c r="BG787" s="46"/>
      <c r="BH787" s="46"/>
      <c r="BI787" s="46"/>
      <c r="BJ787" s="46"/>
      <c r="BK787" s="46"/>
      <c r="BL787" s="46"/>
      <c r="BM787" s="46"/>
      <c r="BN787" s="46"/>
      <c r="BO787" s="46"/>
      <c r="BP787" s="46"/>
      <c r="BQ787" s="46"/>
      <c r="BR787" s="46"/>
      <c r="BS787" s="46"/>
      <c r="BT787" s="46"/>
      <c r="BU787" s="46"/>
      <c r="BV787" s="46"/>
      <c r="BW787" s="46"/>
      <c r="BX787" s="46"/>
      <c r="BY787" s="46"/>
      <c r="BZ787" s="46"/>
      <c r="CA787" s="46"/>
      <c r="CB787" s="46"/>
      <c r="CC787" s="46"/>
      <c r="CD787" s="46"/>
      <c r="CE787" s="46"/>
      <c r="CF787" s="46"/>
      <c r="CG787" s="46"/>
      <c r="CH787" s="46"/>
      <c r="CI787" s="46"/>
      <c r="CJ787" s="46"/>
      <c r="CK787" s="46"/>
      <c r="CL787" s="46"/>
      <c r="CM787" s="46"/>
      <c r="CN787" s="46"/>
    </row>
    <row r="788">
      <c r="A788" s="46"/>
      <c r="B788" s="46"/>
      <c r="C788" s="46"/>
      <c r="D788" s="46"/>
      <c r="E788" s="46"/>
      <c r="F788" s="46"/>
      <c r="G788" s="46"/>
      <c r="H788" s="46"/>
      <c r="I788" s="46"/>
      <c r="J788" s="46"/>
      <c r="K788" s="46"/>
      <c r="L788" s="51"/>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51"/>
      <c r="BB788" s="46"/>
      <c r="BC788" s="46"/>
      <c r="BD788" s="46"/>
      <c r="BE788" s="46"/>
      <c r="BF788" s="46"/>
      <c r="BG788" s="46"/>
      <c r="BH788" s="46"/>
      <c r="BI788" s="46"/>
      <c r="BJ788" s="46"/>
      <c r="BK788" s="46"/>
      <c r="BL788" s="46"/>
      <c r="BM788" s="46"/>
      <c r="BN788" s="46"/>
      <c r="BO788" s="46"/>
      <c r="BP788" s="46"/>
      <c r="BQ788" s="46"/>
      <c r="BR788" s="46"/>
      <c r="BS788" s="46"/>
      <c r="BT788" s="46"/>
      <c r="BU788" s="46"/>
      <c r="BV788" s="46"/>
      <c r="BW788" s="46"/>
      <c r="BX788" s="46"/>
      <c r="BY788" s="46"/>
      <c r="BZ788" s="46"/>
      <c r="CA788" s="46"/>
      <c r="CB788" s="46"/>
      <c r="CC788" s="46"/>
      <c r="CD788" s="46"/>
      <c r="CE788" s="46"/>
      <c r="CF788" s="46"/>
      <c r="CG788" s="46"/>
      <c r="CH788" s="46"/>
      <c r="CI788" s="46"/>
      <c r="CJ788" s="46"/>
      <c r="CK788" s="46"/>
      <c r="CL788" s="46"/>
      <c r="CM788" s="46"/>
      <c r="CN788" s="46"/>
    </row>
    <row r="789">
      <c r="A789" s="46"/>
      <c r="B789" s="46"/>
      <c r="C789" s="46"/>
      <c r="D789" s="46"/>
      <c r="E789" s="46"/>
      <c r="F789" s="46"/>
      <c r="G789" s="46"/>
      <c r="H789" s="46"/>
      <c r="I789" s="46"/>
      <c r="J789" s="46"/>
      <c r="K789" s="46"/>
      <c r="L789" s="51"/>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51"/>
      <c r="BB789" s="46"/>
      <c r="BC789" s="46"/>
      <c r="BD789" s="46"/>
      <c r="BE789" s="46"/>
      <c r="BF789" s="46"/>
      <c r="BG789" s="46"/>
      <c r="BH789" s="46"/>
      <c r="BI789" s="46"/>
      <c r="BJ789" s="46"/>
      <c r="BK789" s="46"/>
      <c r="BL789" s="46"/>
      <c r="BM789" s="46"/>
      <c r="BN789" s="46"/>
      <c r="BO789" s="46"/>
      <c r="BP789" s="46"/>
      <c r="BQ789" s="46"/>
      <c r="BR789" s="46"/>
      <c r="BS789" s="46"/>
      <c r="BT789" s="46"/>
      <c r="BU789" s="46"/>
      <c r="BV789" s="46"/>
      <c r="BW789" s="46"/>
      <c r="BX789" s="46"/>
      <c r="BY789" s="46"/>
      <c r="BZ789" s="46"/>
      <c r="CA789" s="46"/>
      <c r="CB789" s="46"/>
      <c r="CC789" s="46"/>
      <c r="CD789" s="46"/>
      <c r="CE789" s="46"/>
      <c r="CF789" s="46"/>
      <c r="CG789" s="46"/>
      <c r="CH789" s="46"/>
      <c r="CI789" s="46"/>
      <c r="CJ789" s="46"/>
      <c r="CK789" s="46"/>
      <c r="CL789" s="46"/>
      <c r="CM789" s="46"/>
      <c r="CN789" s="46"/>
    </row>
    <row r="790">
      <c r="A790" s="46"/>
      <c r="B790" s="46"/>
      <c r="C790" s="46"/>
      <c r="D790" s="46"/>
      <c r="E790" s="46"/>
      <c r="F790" s="46"/>
      <c r="G790" s="46"/>
      <c r="H790" s="46"/>
      <c r="I790" s="46"/>
      <c r="J790" s="46"/>
      <c r="K790" s="46"/>
      <c r="L790" s="51"/>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51"/>
      <c r="BB790" s="46"/>
      <c r="BC790" s="46"/>
      <c r="BD790" s="46"/>
      <c r="BE790" s="46"/>
      <c r="BF790" s="46"/>
      <c r="BG790" s="46"/>
      <c r="BH790" s="46"/>
      <c r="BI790" s="46"/>
      <c r="BJ790" s="46"/>
      <c r="BK790" s="46"/>
      <c r="BL790" s="46"/>
      <c r="BM790" s="46"/>
      <c r="BN790" s="46"/>
      <c r="BO790" s="46"/>
      <c r="BP790" s="46"/>
      <c r="BQ790" s="46"/>
      <c r="BR790" s="46"/>
      <c r="BS790" s="46"/>
      <c r="BT790" s="46"/>
      <c r="BU790" s="46"/>
      <c r="BV790" s="46"/>
      <c r="BW790" s="46"/>
      <c r="BX790" s="46"/>
      <c r="BY790" s="46"/>
      <c r="BZ790" s="46"/>
      <c r="CA790" s="46"/>
      <c r="CB790" s="46"/>
      <c r="CC790" s="46"/>
      <c r="CD790" s="46"/>
      <c r="CE790" s="46"/>
      <c r="CF790" s="46"/>
      <c r="CG790" s="46"/>
      <c r="CH790" s="46"/>
      <c r="CI790" s="46"/>
      <c r="CJ790" s="46"/>
      <c r="CK790" s="46"/>
      <c r="CL790" s="46"/>
      <c r="CM790" s="46"/>
      <c r="CN790" s="46"/>
    </row>
    <row r="791">
      <c r="A791" s="46"/>
      <c r="B791" s="46"/>
      <c r="C791" s="46"/>
      <c r="D791" s="46"/>
      <c r="E791" s="46"/>
      <c r="F791" s="46"/>
      <c r="G791" s="46"/>
      <c r="H791" s="46"/>
      <c r="I791" s="46"/>
      <c r="J791" s="46"/>
      <c r="K791" s="46"/>
      <c r="L791" s="51"/>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51"/>
      <c r="BB791" s="46"/>
      <c r="BC791" s="46"/>
      <c r="BD791" s="46"/>
      <c r="BE791" s="46"/>
      <c r="BF791" s="46"/>
      <c r="BG791" s="46"/>
      <c r="BH791" s="46"/>
      <c r="BI791" s="46"/>
      <c r="BJ791" s="46"/>
      <c r="BK791" s="46"/>
      <c r="BL791" s="46"/>
      <c r="BM791" s="46"/>
      <c r="BN791" s="46"/>
      <c r="BO791" s="46"/>
      <c r="BP791" s="46"/>
      <c r="BQ791" s="46"/>
      <c r="BR791" s="46"/>
      <c r="BS791" s="46"/>
      <c r="BT791" s="46"/>
      <c r="BU791" s="46"/>
      <c r="BV791" s="46"/>
      <c r="BW791" s="46"/>
      <c r="BX791" s="46"/>
      <c r="BY791" s="46"/>
      <c r="BZ791" s="46"/>
      <c r="CA791" s="46"/>
      <c r="CB791" s="46"/>
      <c r="CC791" s="46"/>
      <c r="CD791" s="46"/>
      <c r="CE791" s="46"/>
      <c r="CF791" s="46"/>
      <c r="CG791" s="46"/>
      <c r="CH791" s="46"/>
      <c r="CI791" s="46"/>
      <c r="CJ791" s="46"/>
      <c r="CK791" s="46"/>
      <c r="CL791" s="46"/>
      <c r="CM791" s="46"/>
      <c r="CN791" s="46"/>
    </row>
    <row r="792">
      <c r="A792" s="46"/>
      <c r="B792" s="46"/>
      <c r="C792" s="46"/>
      <c r="D792" s="46"/>
      <c r="E792" s="46"/>
      <c r="F792" s="46"/>
      <c r="G792" s="46"/>
      <c r="H792" s="46"/>
      <c r="I792" s="46"/>
      <c r="J792" s="46"/>
      <c r="K792" s="46"/>
      <c r="L792" s="51"/>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51"/>
      <c r="BB792" s="46"/>
      <c r="BC792" s="46"/>
      <c r="BD792" s="46"/>
      <c r="BE792" s="46"/>
      <c r="BF792" s="46"/>
      <c r="BG792" s="46"/>
      <c r="BH792" s="46"/>
      <c r="BI792" s="46"/>
      <c r="BJ792" s="46"/>
      <c r="BK792" s="46"/>
      <c r="BL792" s="46"/>
      <c r="BM792" s="46"/>
      <c r="BN792" s="46"/>
      <c r="BO792" s="46"/>
      <c r="BP792" s="46"/>
      <c r="BQ792" s="46"/>
      <c r="BR792" s="46"/>
      <c r="BS792" s="46"/>
      <c r="BT792" s="46"/>
      <c r="BU792" s="46"/>
      <c r="BV792" s="46"/>
      <c r="BW792" s="46"/>
      <c r="BX792" s="46"/>
      <c r="BY792" s="46"/>
      <c r="BZ792" s="46"/>
      <c r="CA792" s="46"/>
      <c r="CB792" s="46"/>
      <c r="CC792" s="46"/>
      <c r="CD792" s="46"/>
      <c r="CE792" s="46"/>
      <c r="CF792" s="46"/>
      <c r="CG792" s="46"/>
      <c r="CH792" s="46"/>
      <c r="CI792" s="46"/>
      <c r="CJ792" s="46"/>
      <c r="CK792" s="46"/>
      <c r="CL792" s="46"/>
      <c r="CM792" s="46"/>
      <c r="CN792" s="46"/>
    </row>
    <row r="793">
      <c r="A793" s="46"/>
      <c r="B793" s="46"/>
      <c r="C793" s="46"/>
      <c r="D793" s="46"/>
      <c r="E793" s="46"/>
      <c r="F793" s="46"/>
      <c r="G793" s="46"/>
      <c r="H793" s="46"/>
      <c r="I793" s="46"/>
      <c r="J793" s="46"/>
      <c r="K793" s="46"/>
      <c r="L793" s="51"/>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51"/>
      <c r="BB793" s="46"/>
      <c r="BC793" s="46"/>
      <c r="BD793" s="46"/>
      <c r="BE793" s="46"/>
      <c r="BF793" s="46"/>
      <c r="BG793" s="46"/>
      <c r="BH793" s="46"/>
      <c r="BI793" s="46"/>
      <c r="BJ793" s="46"/>
      <c r="BK793" s="46"/>
      <c r="BL793" s="46"/>
      <c r="BM793" s="46"/>
      <c r="BN793" s="46"/>
      <c r="BO793" s="46"/>
      <c r="BP793" s="46"/>
      <c r="BQ793" s="46"/>
      <c r="BR793" s="46"/>
      <c r="BS793" s="46"/>
      <c r="BT793" s="46"/>
      <c r="BU793" s="46"/>
      <c r="BV793" s="46"/>
      <c r="BW793" s="46"/>
      <c r="BX793" s="46"/>
      <c r="BY793" s="46"/>
      <c r="BZ793" s="46"/>
      <c r="CA793" s="46"/>
      <c r="CB793" s="46"/>
      <c r="CC793" s="46"/>
      <c r="CD793" s="46"/>
      <c r="CE793" s="46"/>
      <c r="CF793" s="46"/>
      <c r="CG793" s="46"/>
      <c r="CH793" s="46"/>
      <c r="CI793" s="46"/>
      <c r="CJ793" s="46"/>
      <c r="CK793" s="46"/>
      <c r="CL793" s="46"/>
      <c r="CM793" s="46"/>
      <c r="CN793" s="46"/>
    </row>
    <row r="794">
      <c r="A794" s="46"/>
      <c r="B794" s="46"/>
      <c r="C794" s="46"/>
      <c r="D794" s="46"/>
      <c r="E794" s="46"/>
      <c r="F794" s="46"/>
      <c r="G794" s="46"/>
      <c r="H794" s="46"/>
      <c r="I794" s="46"/>
      <c r="J794" s="46"/>
      <c r="K794" s="46"/>
      <c r="L794" s="51"/>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51"/>
      <c r="BB794" s="46"/>
      <c r="BC794" s="46"/>
      <c r="BD794" s="46"/>
      <c r="BE794" s="46"/>
      <c r="BF794" s="46"/>
      <c r="BG794" s="46"/>
      <c r="BH794" s="46"/>
      <c r="BI794" s="46"/>
      <c r="BJ794" s="46"/>
      <c r="BK794" s="46"/>
      <c r="BL794" s="46"/>
      <c r="BM794" s="46"/>
      <c r="BN794" s="46"/>
      <c r="BO794" s="46"/>
      <c r="BP794" s="46"/>
      <c r="BQ794" s="46"/>
      <c r="BR794" s="46"/>
      <c r="BS794" s="46"/>
      <c r="BT794" s="46"/>
      <c r="BU794" s="46"/>
      <c r="BV794" s="46"/>
      <c r="BW794" s="46"/>
      <c r="BX794" s="46"/>
      <c r="BY794" s="46"/>
      <c r="BZ794" s="46"/>
      <c r="CA794" s="46"/>
      <c r="CB794" s="46"/>
      <c r="CC794" s="46"/>
      <c r="CD794" s="46"/>
      <c r="CE794" s="46"/>
      <c r="CF794" s="46"/>
      <c r="CG794" s="46"/>
      <c r="CH794" s="46"/>
      <c r="CI794" s="46"/>
      <c r="CJ794" s="46"/>
      <c r="CK794" s="46"/>
      <c r="CL794" s="46"/>
      <c r="CM794" s="46"/>
      <c r="CN794" s="46"/>
    </row>
    <row r="795">
      <c r="A795" s="46"/>
      <c r="B795" s="46"/>
      <c r="C795" s="46"/>
      <c r="D795" s="46"/>
      <c r="E795" s="46"/>
      <c r="F795" s="46"/>
      <c r="G795" s="46"/>
      <c r="H795" s="46"/>
      <c r="I795" s="46"/>
      <c r="J795" s="46"/>
      <c r="K795" s="46"/>
      <c r="L795" s="51"/>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51"/>
      <c r="BB795" s="46"/>
      <c r="BC795" s="46"/>
      <c r="BD795" s="46"/>
      <c r="BE795" s="46"/>
      <c r="BF795" s="46"/>
      <c r="BG795" s="46"/>
      <c r="BH795" s="46"/>
      <c r="BI795" s="46"/>
      <c r="BJ795" s="46"/>
      <c r="BK795" s="46"/>
      <c r="BL795" s="46"/>
      <c r="BM795" s="46"/>
      <c r="BN795" s="46"/>
      <c r="BO795" s="46"/>
      <c r="BP795" s="46"/>
      <c r="BQ795" s="46"/>
      <c r="BR795" s="46"/>
      <c r="BS795" s="46"/>
      <c r="BT795" s="46"/>
      <c r="BU795" s="46"/>
      <c r="BV795" s="46"/>
      <c r="BW795" s="46"/>
      <c r="BX795" s="46"/>
      <c r="BY795" s="46"/>
      <c r="BZ795" s="46"/>
      <c r="CA795" s="46"/>
      <c r="CB795" s="46"/>
      <c r="CC795" s="46"/>
      <c r="CD795" s="46"/>
      <c r="CE795" s="46"/>
      <c r="CF795" s="46"/>
      <c r="CG795" s="46"/>
      <c r="CH795" s="46"/>
      <c r="CI795" s="46"/>
      <c r="CJ795" s="46"/>
      <c r="CK795" s="46"/>
      <c r="CL795" s="46"/>
      <c r="CM795" s="46"/>
      <c r="CN795" s="46"/>
    </row>
    <row r="796">
      <c r="A796" s="46"/>
      <c r="B796" s="46"/>
      <c r="C796" s="46"/>
      <c r="D796" s="46"/>
      <c r="E796" s="46"/>
      <c r="F796" s="46"/>
      <c r="G796" s="46"/>
      <c r="H796" s="46"/>
      <c r="I796" s="46"/>
      <c r="J796" s="46"/>
      <c r="K796" s="46"/>
      <c r="L796" s="51"/>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51"/>
      <c r="BB796" s="46"/>
      <c r="BC796" s="46"/>
      <c r="BD796" s="46"/>
      <c r="BE796" s="46"/>
      <c r="BF796" s="46"/>
      <c r="BG796" s="46"/>
      <c r="BH796" s="46"/>
      <c r="BI796" s="46"/>
      <c r="BJ796" s="46"/>
      <c r="BK796" s="46"/>
      <c r="BL796" s="46"/>
      <c r="BM796" s="46"/>
      <c r="BN796" s="46"/>
      <c r="BO796" s="46"/>
      <c r="BP796" s="46"/>
      <c r="BQ796" s="46"/>
      <c r="BR796" s="46"/>
      <c r="BS796" s="46"/>
      <c r="BT796" s="46"/>
      <c r="BU796" s="46"/>
      <c r="BV796" s="46"/>
      <c r="BW796" s="46"/>
      <c r="BX796" s="46"/>
      <c r="BY796" s="46"/>
      <c r="BZ796" s="46"/>
      <c r="CA796" s="46"/>
      <c r="CB796" s="46"/>
      <c r="CC796" s="46"/>
      <c r="CD796" s="46"/>
      <c r="CE796" s="46"/>
      <c r="CF796" s="46"/>
      <c r="CG796" s="46"/>
      <c r="CH796" s="46"/>
      <c r="CI796" s="46"/>
      <c r="CJ796" s="46"/>
      <c r="CK796" s="46"/>
      <c r="CL796" s="46"/>
      <c r="CM796" s="46"/>
      <c r="CN796" s="46"/>
    </row>
    <row r="797">
      <c r="A797" s="46"/>
      <c r="B797" s="46"/>
      <c r="C797" s="46"/>
      <c r="D797" s="46"/>
      <c r="E797" s="46"/>
      <c r="F797" s="46"/>
      <c r="G797" s="46"/>
      <c r="H797" s="46"/>
      <c r="I797" s="46"/>
      <c r="J797" s="46"/>
      <c r="K797" s="46"/>
      <c r="L797" s="51"/>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51"/>
      <c r="BB797" s="46"/>
      <c r="BC797" s="46"/>
      <c r="BD797" s="46"/>
      <c r="BE797" s="46"/>
      <c r="BF797" s="46"/>
      <c r="BG797" s="46"/>
      <c r="BH797" s="46"/>
      <c r="BI797" s="46"/>
      <c r="BJ797" s="46"/>
      <c r="BK797" s="46"/>
      <c r="BL797" s="46"/>
      <c r="BM797" s="46"/>
      <c r="BN797" s="46"/>
      <c r="BO797" s="46"/>
      <c r="BP797" s="46"/>
      <c r="BQ797" s="46"/>
      <c r="BR797" s="46"/>
      <c r="BS797" s="46"/>
      <c r="BT797" s="46"/>
      <c r="BU797" s="46"/>
      <c r="BV797" s="46"/>
      <c r="BW797" s="46"/>
      <c r="BX797" s="46"/>
      <c r="BY797" s="46"/>
      <c r="BZ797" s="46"/>
      <c r="CA797" s="46"/>
      <c r="CB797" s="46"/>
      <c r="CC797" s="46"/>
      <c r="CD797" s="46"/>
      <c r="CE797" s="46"/>
      <c r="CF797" s="46"/>
      <c r="CG797" s="46"/>
      <c r="CH797" s="46"/>
      <c r="CI797" s="46"/>
      <c r="CJ797" s="46"/>
      <c r="CK797" s="46"/>
      <c r="CL797" s="46"/>
      <c r="CM797" s="46"/>
      <c r="CN797" s="46"/>
    </row>
    <row r="798">
      <c r="A798" s="46"/>
      <c r="B798" s="46"/>
      <c r="C798" s="46"/>
      <c r="D798" s="46"/>
      <c r="E798" s="46"/>
      <c r="F798" s="46"/>
      <c r="G798" s="46"/>
      <c r="H798" s="46"/>
      <c r="I798" s="46"/>
      <c r="J798" s="46"/>
      <c r="K798" s="46"/>
      <c r="L798" s="51"/>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51"/>
      <c r="BB798" s="46"/>
      <c r="BC798" s="46"/>
      <c r="BD798" s="46"/>
      <c r="BE798" s="46"/>
      <c r="BF798" s="46"/>
      <c r="BG798" s="46"/>
      <c r="BH798" s="46"/>
      <c r="BI798" s="46"/>
      <c r="BJ798" s="46"/>
      <c r="BK798" s="46"/>
      <c r="BL798" s="46"/>
      <c r="BM798" s="46"/>
      <c r="BN798" s="46"/>
      <c r="BO798" s="46"/>
      <c r="BP798" s="46"/>
      <c r="BQ798" s="46"/>
      <c r="BR798" s="46"/>
      <c r="BS798" s="46"/>
      <c r="BT798" s="46"/>
      <c r="BU798" s="46"/>
      <c r="BV798" s="46"/>
      <c r="BW798" s="46"/>
      <c r="BX798" s="46"/>
      <c r="BY798" s="46"/>
      <c r="BZ798" s="46"/>
      <c r="CA798" s="46"/>
      <c r="CB798" s="46"/>
      <c r="CC798" s="46"/>
      <c r="CD798" s="46"/>
      <c r="CE798" s="46"/>
      <c r="CF798" s="46"/>
      <c r="CG798" s="46"/>
      <c r="CH798" s="46"/>
      <c r="CI798" s="46"/>
      <c r="CJ798" s="46"/>
      <c r="CK798" s="46"/>
      <c r="CL798" s="46"/>
      <c r="CM798" s="46"/>
      <c r="CN798" s="46"/>
    </row>
    <row r="799">
      <c r="A799" s="46"/>
      <c r="B799" s="46"/>
      <c r="C799" s="46"/>
      <c r="D799" s="46"/>
      <c r="E799" s="46"/>
      <c r="F799" s="46"/>
      <c r="G799" s="46"/>
      <c r="H799" s="46"/>
      <c r="I799" s="46"/>
      <c r="J799" s="46"/>
      <c r="K799" s="46"/>
      <c r="L799" s="51"/>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51"/>
      <c r="BB799" s="46"/>
      <c r="BC799" s="46"/>
      <c r="BD799" s="46"/>
      <c r="BE799" s="46"/>
      <c r="BF799" s="46"/>
      <c r="BG799" s="46"/>
      <c r="BH799" s="46"/>
      <c r="BI799" s="46"/>
      <c r="BJ799" s="46"/>
      <c r="BK799" s="46"/>
      <c r="BL799" s="46"/>
      <c r="BM799" s="46"/>
      <c r="BN799" s="46"/>
      <c r="BO799" s="46"/>
      <c r="BP799" s="46"/>
      <c r="BQ799" s="46"/>
      <c r="BR799" s="46"/>
      <c r="BS799" s="46"/>
      <c r="BT799" s="46"/>
      <c r="BU799" s="46"/>
      <c r="BV799" s="46"/>
      <c r="BW799" s="46"/>
      <c r="BX799" s="46"/>
      <c r="BY799" s="46"/>
      <c r="BZ799" s="46"/>
      <c r="CA799" s="46"/>
      <c r="CB799" s="46"/>
      <c r="CC799" s="46"/>
      <c r="CD799" s="46"/>
      <c r="CE799" s="46"/>
      <c r="CF799" s="46"/>
      <c r="CG799" s="46"/>
      <c r="CH799" s="46"/>
      <c r="CI799" s="46"/>
      <c r="CJ799" s="46"/>
      <c r="CK799" s="46"/>
      <c r="CL799" s="46"/>
      <c r="CM799" s="46"/>
      <c r="CN799" s="46"/>
    </row>
    <row r="800">
      <c r="A800" s="46"/>
      <c r="B800" s="46"/>
      <c r="C800" s="46"/>
      <c r="D800" s="46"/>
      <c r="E800" s="46"/>
      <c r="F800" s="46"/>
      <c r="G800" s="46"/>
      <c r="H800" s="46"/>
      <c r="I800" s="46"/>
      <c r="J800" s="46"/>
      <c r="K800" s="46"/>
      <c r="L800" s="51"/>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51"/>
      <c r="BB800" s="46"/>
      <c r="BC800" s="46"/>
      <c r="BD800" s="46"/>
      <c r="BE800" s="46"/>
      <c r="BF800" s="46"/>
      <c r="BG800" s="46"/>
      <c r="BH800" s="46"/>
      <c r="BI800" s="46"/>
      <c r="BJ800" s="46"/>
      <c r="BK800" s="46"/>
      <c r="BL800" s="46"/>
      <c r="BM800" s="46"/>
      <c r="BN800" s="46"/>
      <c r="BO800" s="46"/>
      <c r="BP800" s="46"/>
      <c r="BQ800" s="46"/>
      <c r="BR800" s="46"/>
      <c r="BS800" s="46"/>
      <c r="BT800" s="46"/>
      <c r="BU800" s="46"/>
      <c r="BV800" s="46"/>
      <c r="BW800" s="46"/>
      <c r="BX800" s="46"/>
      <c r="BY800" s="46"/>
      <c r="BZ800" s="46"/>
      <c r="CA800" s="46"/>
      <c r="CB800" s="46"/>
      <c r="CC800" s="46"/>
      <c r="CD800" s="46"/>
      <c r="CE800" s="46"/>
      <c r="CF800" s="46"/>
      <c r="CG800" s="46"/>
      <c r="CH800" s="46"/>
      <c r="CI800" s="46"/>
      <c r="CJ800" s="46"/>
      <c r="CK800" s="46"/>
      <c r="CL800" s="46"/>
      <c r="CM800" s="46"/>
      <c r="CN800" s="46"/>
    </row>
    <row r="801">
      <c r="A801" s="46"/>
      <c r="B801" s="46"/>
      <c r="C801" s="46"/>
      <c r="D801" s="46"/>
      <c r="E801" s="46"/>
      <c r="F801" s="46"/>
      <c r="G801" s="46"/>
      <c r="H801" s="46"/>
      <c r="I801" s="46"/>
      <c r="J801" s="46"/>
      <c r="K801" s="46"/>
      <c r="L801" s="51"/>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51"/>
      <c r="BB801" s="46"/>
      <c r="BC801" s="46"/>
      <c r="BD801" s="46"/>
      <c r="BE801" s="46"/>
      <c r="BF801" s="46"/>
      <c r="BG801" s="46"/>
      <c r="BH801" s="46"/>
      <c r="BI801" s="46"/>
      <c r="BJ801" s="46"/>
      <c r="BK801" s="46"/>
      <c r="BL801" s="46"/>
      <c r="BM801" s="46"/>
      <c r="BN801" s="46"/>
      <c r="BO801" s="46"/>
      <c r="BP801" s="46"/>
      <c r="BQ801" s="46"/>
      <c r="BR801" s="46"/>
      <c r="BS801" s="46"/>
      <c r="BT801" s="46"/>
      <c r="BU801" s="46"/>
      <c r="BV801" s="46"/>
      <c r="BW801" s="46"/>
      <c r="BX801" s="46"/>
      <c r="BY801" s="46"/>
      <c r="BZ801" s="46"/>
      <c r="CA801" s="46"/>
      <c r="CB801" s="46"/>
      <c r="CC801" s="46"/>
      <c r="CD801" s="46"/>
      <c r="CE801" s="46"/>
      <c r="CF801" s="46"/>
      <c r="CG801" s="46"/>
      <c r="CH801" s="46"/>
      <c r="CI801" s="46"/>
      <c r="CJ801" s="46"/>
      <c r="CK801" s="46"/>
      <c r="CL801" s="46"/>
      <c r="CM801" s="46"/>
      <c r="CN801" s="46"/>
    </row>
    <row r="802">
      <c r="A802" s="46"/>
      <c r="B802" s="46"/>
      <c r="C802" s="46"/>
      <c r="D802" s="46"/>
      <c r="E802" s="46"/>
      <c r="F802" s="46"/>
      <c r="G802" s="46"/>
      <c r="H802" s="46"/>
      <c r="I802" s="46"/>
      <c r="J802" s="46"/>
      <c r="K802" s="46"/>
      <c r="L802" s="51"/>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51"/>
      <c r="BB802" s="46"/>
      <c r="BC802" s="46"/>
      <c r="BD802" s="46"/>
      <c r="BE802" s="46"/>
      <c r="BF802" s="46"/>
      <c r="BG802" s="46"/>
      <c r="BH802" s="46"/>
      <c r="BI802" s="46"/>
      <c r="BJ802" s="46"/>
      <c r="BK802" s="46"/>
      <c r="BL802" s="46"/>
      <c r="BM802" s="46"/>
      <c r="BN802" s="46"/>
      <c r="BO802" s="46"/>
      <c r="BP802" s="46"/>
      <c r="BQ802" s="46"/>
      <c r="BR802" s="46"/>
      <c r="BS802" s="46"/>
      <c r="BT802" s="46"/>
      <c r="BU802" s="46"/>
      <c r="BV802" s="46"/>
      <c r="BW802" s="46"/>
      <c r="BX802" s="46"/>
      <c r="BY802" s="46"/>
      <c r="BZ802" s="46"/>
      <c r="CA802" s="46"/>
      <c r="CB802" s="46"/>
      <c r="CC802" s="46"/>
      <c r="CD802" s="46"/>
      <c r="CE802" s="46"/>
      <c r="CF802" s="46"/>
      <c r="CG802" s="46"/>
      <c r="CH802" s="46"/>
      <c r="CI802" s="46"/>
      <c r="CJ802" s="46"/>
      <c r="CK802" s="46"/>
      <c r="CL802" s="46"/>
      <c r="CM802" s="46"/>
      <c r="CN802" s="46"/>
    </row>
    <row r="803">
      <c r="A803" s="46"/>
      <c r="B803" s="46"/>
      <c r="C803" s="46"/>
      <c r="D803" s="46"/>
      <c r="E803" s="46"/>
      <c r="F803" s="46"/>
      <c r="G803" s="46"/>
      <c r="H803" s="46"/>
      <c r="I803" s="46"/>
      <c r="J803" s="46"/>
      <c r="K803" s="46"/>
      <c r="L803" s="51"/>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51"/>
      <c r="BB803" s="46"/>
      <c r="BC803" s="46"/>
      <c r="BD803" s="46"/>
      <c r="BE803" s="46"/>
      <c r="BF803" s="46"/>
      <c r="BG803" s="46"/>
      <c r="BH803" s="46"/>
      <c r="BI803" s="46"/>
      <c r="BJ803" s="46"/>
      <c r="BK803" s="46"/>
      <c r="BL803" s="46"/>
      <c r="BM803" s="46"/>
      <c r="BN803" s="46"/>
      <c r="BO803" s="46"/>
      <c r="BP803" s="46"/>
      <c r="BQ803" s="46"/>
      <c r="BR803" s="46"/>
      <c r="BS803" s="46"/>
      <c r="BT803" s="46"/>
      <c r="BU803" s="46"/>
      <c r="BV803" s="46"/>
      <c r="BW803" s="46"/>
      <c r="BX803" s="46"/>
      <c r="BY803" s="46"/>
      <c r="BZ803" s="46"/>
      <c r="CA803" s="46"/>
      <c r="CB803" s="46"/>
      <c r="CC803" s="46"/>
      <c r="CD803" s="46"/>
      <c r="CE803" s="46"/>
      <c r="CF803" s="46"/>
      <c r="CG803" s="46"/>
      <c r="CH803" s="46"/>
      <c r="CI803" s="46"/>
      <c r="CJ803" s="46"/>
      <c r="CK803" s="46"/>
      <c r="CL803" s="46"/>
      <c r="CM803" s="46"/>
      <c r="CN803" s="46"/>
    </row>
    <row r="804">
      <c r="A804" s="46"/>
      <c r="B804" s="46"/>
      <c r="C804" s="46"/>
      <c r="D804" s="46"/>
      <c r="E804" s="46"/>
      <c r="F804" s="46"/>
      <c r="G804" s="46"/>
      <c r="H804" s="46"/>
      <c r="I804" s="46"/>
      <c r="J804" s="46"/>
      <c r="K804" s="46"/>
      <c r="L804" s="51"/>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51"/>
      <c r="BB804" s="46"/>
      <c r="BC804" s="46"/>
      <c r="BD804" s="46"/>
      <c r="BE804" s="46"/>
      <c r="BF804" s="46"/>
      <c r="BG804" s="46"/>
      <c r="BH804" s="46"/>
      <c r="BI804" s="46"/>
      <c r="BJ804" s="46"/>
      <c r="BK804" s="46"/>
      <c r="BL804" s="46"/>
      <c r="BM804" s="46"/>
      <c r="BN804" s="46"/>
      <c r="BO804" s="46"/>
      <c r="BP804" s="46"/>
      <c r="BQ804" s="46"/>
      <c r="BR804" s="46"/>
      <c r="BS804" s="46"/>
      <c r="BT804" s="46"/>
      <c r="BU804" s="46"/>
      <c r="BV804" s="46"/>
      <c r="BW804" s="46"/>
      <c r="BX804" s="46"/>
      <c r="BY804" s="46"/>
      <c r="BZ804" s="46"/>
      <c r="CA804" s="46"/>
      <c r="CB804" s="46"/>
      <c r="CC804" s="46"/>
      <c r="CD804" s="46"/>
      <c r="CE804" s="46"/>
      <c r="CF804" s="46"/>
      <c r="CG804" s="46"/>
      <c r="CH804" s="46"/>
      <c r="CI804" s="46"/>
      <c r="CJ804" s="46"/>
      <c r="CK804" s="46"/>
      <c r="CL804" s="46"/>
      <c r="CM804" s="46"/>
      <c r="CN804" s="46"/>
    </row>
    <row r="805">
      <c r="A805" s="46"/>
      <c r="B805" s="46"/>
      <c r="C805" s="46"/>
      <c r="D805" s="46"/>
      <c r="E805" s="46"/>
      <c r="F805" s="46"/>
      <c r="G805" s="46"/>
      <c r="H805" s="46"/>
      <c r="I805" s="46"/>
      <c r="J805" s="46"/>
      <c r="K805" s="46"/>
      <c r="L805" s="51"/>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51"/>
      <c r="BB805" s="46"/>
      <c r="BC805" s="46"/>
      <c r="BD805" s="46"/>
      <c r="BE805" s="46"/>
      <c r="BF805" s="46"/>
      <c r="BG805" s="46"/>
      <c r="BH805" s="46"/>
      <c r="BI805" s="46"/>
      <c r="BJ805" s="46"/>
      <c r="BK805" s="46"/>
      <c r="BL805" s="46"/>
      <c r="BM805" s="46"/>
      <c r="BN805" s="46"/>
      <c r="BO805" s="46"/>
      <c r="BP805" s="46"/>
      <c r="BQ805" s="46"/>
      <c r="BR805" s="46"/>
      <c r="BS805" s="46"/>
      <c r="BT805" s="46"/>
      <c r="BU805" s="46"/>
      <c r="BV805" s="46"/>
      <c r="BW805" s="46"/>
      <c r="BX805" s="46"/>
      <c r="BY805" s="46"/>
      <c r="BZ805" s="46"/>
      <c r="CA805" s="46"/>
      <c r="CB805" s="46"/>
      <c r="CC805" s="46"/>
      <c r="CD805" s="46"/>
      <c r="CE805" s="46"/>
      <c r="CF805" s="46"/>
      <c r="CG805" s="46"/>
      <c r="CH805" s="46"/>
      <c r="CI805" s="46"/>
      <c r="CJ805" s="46"/>
      <c r="CK805" s="46"/>
      <c r="CL805" s="46"/>
      <c r="CM805" s="46"/>
      <c r="CN805" s="46"/>
    </row>
    <row r="806">
      <c r="A806" s="46"/>
      <c r="B806" s="46"/>
      <c r="C806" s="46"/>
      <c r="D806" s="46"/>
      <c r="E806" s="46"/>
      <c r="F806" s="46"/>
      <c r="G806" s="46"/>
      <c r="H806" s="46"/>
      <c r="I806" s="46"/>
      <c r="J806" s="46"/>
      <c r="K806" s="46"/>
      <c r="L806" s="51"/>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51"/>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46"/>
      <c r="BZ806" s="46"/>
      <c r="CA806" s="46"/>
      <c r="CB806" s="46"/>
      <c r="CC806" s="46"/>
      <c r="CD806" s="46"/>
      <c r="CE806" s="46"/>
      <c r="CF806" s="46"/>
      <c r="CG806" s="46"/>
      <c r="CH806" s="46"/>
      <c r="CI806" s="46"/>
      <c r="CJ806" s="46"/>
      <c r="CK806" s="46"/>
      <c r="CL806" s="46"/>
      <c r="CM806" s="46"/>
      <c r="CN806" s="46"/>
    </row>
    <row r="807">
      <c r="A807" s="46"/>
      <c r="B807" s="46"/>
      <c r="C807" s="46"/>
      <c r="D807" s="46"/>
      <c r="E807" s="46"/>
      <c r="F807" s="46"/>
      <c r="G807" s="46"/>
      <c r="H807" s="46"/>
      <c r="I807" s="46"/>
      <c r="J807" s="46"/>
      <c r="K807" s="46"/>
      <c r="L807" s="51"/>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51"/>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46"/>
      <c r="BZ807" s="46"/>
      <c r="CA807" s="46"/>
      <c r="CB807" s="46"/>
      <c r="CC807" s="46"/>
      <c r="CD807" s="46"/>
      <c r="CE807" s="46"/>
      <c r="CF807" s="46"/>
      <c r="CG807" s="46"/>
      <c r="CH807" s="46"/>
      <c r="CI807" s="46"/>
      <c r="CJ807" s="46"/>
      <c r="CK807" s="46"/>
      <c r="CL807" s="46"/>
      <c r="CM807" s="46"/>
      <c r="CN807" s="46"/>
    </row>
    <row r="808">
      <c r="A808" s="46"/>
      <c r="B808" s="46"/>
      <c r="C808" s="46"/>
      <c r="D808" s="46"/>
      <c r="E808" s="46"/>
      <c r="F808" s="46"/>
      <c r="G808" s="46"/>
      <c r="H808" s="46"/>
      <c r="I808" s="46"/>
      <c r="J808" s="46"/>
      <c r="K808" s="46"/>
      <c r="L808" s="51"/>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51"/>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46"/>
      <c r="BZ808" s="46"/>
      <c r="CA808" s="46"/>
      <c r="CB808" s="46"/>
      <c r="CC808" s="46"/>
      <c r="CD808" s="46"/>
      <c r="CE808" s="46"/>
      <c r="CF808" s="46"/>
      <c r="CG808" s="46"/>
      <c r="CH808" s="46"/>
      <c r="CI808" s="46"/>
      <c r="CJ808" s="46"/>
      <c r="CK808" s="46"/>
      <c r="CL808" s="46"/>
      <c r="CM808" s="46"/>
      <c r="CN808" s="46"/>
    </row>
    <row r="809">
      <c r="A809" s="46"/>
      <c r="B809" s="46"/>
      <c r="C809" s="46"/>
      <c r="D809" s="46"/>
      <c r="E809" s="46"/>
      <c r="F809" s="46"/>
      <c r="G809" s="46"/>
      <c r="H809" s="46"/>
      <c r="I809" s="46"/>
      <c r="J809" s="46"/>
      <c r="K809" s="46"/>
      <c r="L809" s="51"/>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51"/>
      <c r="BB809" s="46"/>
      <c r="BC809" s="46"/>
      <c r="BD809" s="46"/>
      <c r="BE809" s="46"/>
      <c r="BF809" s="46"/>
      <c r="BG809" s="46"/>
      <c r="BH809" s="46"/>
      <c r="BI809" s="46"/>
      <c r="BJ809" s="46"/>
      <c r="BK809" s="46"/>
      <c r="BL809" s="46"/>
      <c r="BM809" s="46"/>
      <c r="BN809" s="46"/>
      <c r="BO809" s="46"/>
      <c r="BP809" s="46"/>
      <c r="BQ809" s="46"/>
      <c r="BR809" s="46"/>
      <c r="BS809" s="46"/>
      <c r="BT809" s="46"/>
      <c r="BU809" s="46"/>
      <c r="BV809" s="46"/>
      <c r="BW809" s="46"/>
      <c r="BX809" s="46"/>
      <c r="BY809" s="46"/>
      <c r="BZ809" s="46"/>
      <c r="CA809" s="46"/>
      <c r="CB809" s="46"/>
      <c r="CC809" s="46"/>
      <c r="CD809" s="46"/>
      <c r="CE809" s="46"/>
      <c r="CF809" s="46"/>
      <c r="CG809" s="46"/>
      <c r="CH809" s="46"/>
      <c r="CI809" s="46"/>
      <c r="CJ809" s="46"/>
      <c r="CK809" s="46"/>
      <c r="CL809" s="46"/>
      <c r="CM809" s="46"/>
      <c r="CN809" s="46"/>
    </row>
    <row r="810">
      <c r="A810" s="46"/>
      <c r="B810" s="46"/>
      <c r="C810" s="46"/>
      <c r="D810" s="46"/>
      <c r="E810" s="46"/>
      <c r="F810" s="46"/>
      <c r="G810" s="46"/>
      <c r="H810" s="46"/>
      <c r="I810" s="46"/>
      <c r="J810" s="46"/>
      <c r="K810" s="46"/>
      <c r="L810" s="51"/>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51"/>
      <c r="BB810" s="46"/>
      <c r="BC810" s="46"/>
      <c r="BD810" s="46"/>
      <c r="BE810" s="46"/>
      <c r="BF810" s="46"/>
      <c r="BG810" s="46"/>
      <c r="BH810" s="46"/>
      <c r="BI810" s="46"/>
      <c r="BJ810" s="46"/>
      <c r="BK810" s="46"/>
      <c r="BL810" s="46"/>
      <c r="BM810" s="46"/>
      <c r="BN810" s="46"/>
      <c r="BO810" s="46"/>
      <c r="BP810" s="46"/>
      <c r="BQ810" s="46"/>
      <c r="BR810" s="46"/>
      <c r="BS810" s="46"/>
      <c r="BT810" s="46"/>
      <c r="BU810" s="46"/>
      <c r="BV810" s="46"/>
      <c r="BW810" s="46"/>
      <c r="BX810" s="46"/>
      <c r="BY810" s="46"/>
      <c r="BZ810" s="46"/>
      <c r="CA810" s="46"/>
      <c r="CB810" s="46"/>
      <c r="CC810" s="46"/>
      <c r="CD810" s="46"/>
      <c r="CE810" s="46"/>
      <c r="CF810" s="46"/>
      <c r="CG810" s="46"/>
      <c r="CH810" s="46"/>
      <c r="CI810" s="46"/>
      <c r="CJ810" s="46"/>
      <c r="CK810" s="46"/>
      <c r="CL810" s="46"/>
      <c r="CM810" s="46"/>
      <c r="CN810" s="46"/>
    </row>
    <row r="811">
      <c r="A811" s="46"/>
      <c r="B811" s="46"/>
      <c r="C811" s="46"/>
      <c r="D811" s="46"/>
      <c r="E811" s="46"/>
      <c r="F811" s="46"/>
      <c r="G811" s="46"/>
      <c r="H811" s="46"/>
      <c r="I811" s="46"/>
      <c r="J811" s="46"/>
      <c r="K811" s="46"/>
      <c r="L811" s="51"/>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51"/>
      <c r="BB811" s="46"/>
      <c r="BC811" s="46"/>
      <c r="BD811" s="46"/>
      <c r="BE811" s="46"/>
      <c r="BF811" s="46"/>
      <c r="BG811" s="46"/>
      <c r="BH811" s="46"/>
      <c r="BI811" s="46"/>
      <c r="BJ811" s="46"/>
      <c r="BK811" s="46"/>
      <c r="BL811" s="46"/>
      <c r="BM811" s="46"/>
      <c r="BN811" s="46"/>
      <c r="BO811" s="46"/>
      <c r="BP811" s="46"/>
      <c r="BQ811" s="46"/>
      <c r="BR811" s="46"/>
      <c r="BS811" s="46"/>
      <c r="BT811" s="46"/>
      <c r="BU811" s="46"/>
      <c r="BV811" s="46"/>
      <c r="BW811" s="46"/>
      <c r="BX811" s="46"/>
      <c r="BY811" s="46"/>
      <c r="BZ811" s="46"/>
      <c r="CA811" s="46"/>
      <c r="CB811" s="46"/>
      <c r="CC811" s="46"/>
      <c r="CD811" s="46"/>
      <c r="CE811" s="46"/>
      <c r="CF811" s="46"/>
      <c r="CG811" s="46"/>
      <c r="CH811" s="46"/>
      <c r="CI811" s="46"/>
      <c r="CJ811" s="46"/>
      <c r="CK811" s="46"/>
      <c r="CL811" s="46"/>
      <c r="CM811" s="46"/>
      <c r="CN811" s="46"/>
    </row>
    <row r="812">
      <c r="A812" s="46"/>
      <c r="B812" s="46"/>
      <c r="C812" s="46"/>
      <c r="D812" s="46"/>
      <c r="E812" s="46"/>
      <c r="F812" s="46"/>
      <c r="G812" s="46"/>
      <c r="H812" s="46"/>
      <c r="I812" s="46"/>
      <c r="J812" s="46"/>
      <c r="K812" s="46"/>
      <c r="L812" s="51"/>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51"/>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6"/>
      <c r="CA812" s="46"/>
      <c r="CB812" s="46"/>
      <c r="CC812" s="46"/>
      <c r="CD812" s="46"/>
      <c r="CE812" s="46"/>
      <c r="CF812" s="46"/>
      <c r="CG812" s="46"/>
      <c r="CH812" s="46"/>
      <c r="CI812" s="46"/>
      <c r="CJ812" s="46"/>
      <c r="CK812" s="46"/>
      <c r="CL812" s="46"/>
      <c r="CM812" s="46"/>
      <c r="CN812" s="46"/>
    </row>
    <row r="813">
      <c r="A813" s="46"/>
      <c r="B813" s="46"/>
      <c r="C813" s="46"/>
      <c r="D813" s="46"/>
      <c r="E813" s="46"/>
      <c r="F813" s="46"/>
      <c r="G813" s="46"/>
      <c r="H813" s="46"/>
      <c r="I813" s="46"/>
      <c r="J813" s="46"/>
      <c r="K813" s="46"/>
      <c r="L813" s="51"/>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51"/>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6"/>
      <c r="CA813" s="46"/>
      <c r="CB813" s="46"/>
      <c r="CC813" s="46"/>
      <c r="CD813" s="46"/>
      <c r="CE813" s="46"/>
      <c r="CF813" s="46"/>
      <c r="CG813" s="46"/>
      <c r="CH813" s="46"/>
      <c r="CI813" s="46"/>
      <c r="CJ813" s="46"/>
      <c r="CK813" s="46"/>
      <c r="CL813" s="46"/>
      <c r="CM813" s="46"/>
      <c r="CN813" s="46"/>
    </row>
    <row r="814">
      <c r="A814" s="46"/>
      <c r="B814" s="46"/>
      <c r="C814" s="46"/>
      <c r="D814" s="46"/>
      <c r="E814" s="46"/>
      <c r="F814" s="46"/>
      <c r="G814" s="46"/>
      <c r="H814" s="46"/>
      <c r="I814" s="46"/>
      <c r="J814" s="46"/>
      <c r="K814" s="46"/>
      <c r="L814" s="51"/>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51"/>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6"/>
      <c r="CA814" s="46"/>
      <c r="CB814" s="46"/>
      <c r="CC814" s="46"/>
      <c r="CD814" s="46"/>
      <c r="CE814" s="46"/>
      <c r="CF814" s="46"/>
      <c r="CG814" s="46"/>
      <c r="CH814" s="46"/>
      <c r="CI814" s="46"/>
      <c r="CJ814" s="46"/>
      <c r="CK814" s="46"/>
      <c r="CL814" s="46"/>
      <c r="CM814" s="46"/>
      <c r="CN814" s="46"/>
    </row>
    <row r="815">
      <c r="A815" s="46"/>
      <c r="B815" s="46"/>
      <c r="C815" s="46"/>
      <c r="D815" s="46"/>
      <c r="E815" s="46"/>
      <c r="F815" s="46"/>
      <c r="G815" s="46"/>
      <c r="H815" s="46"/>
      <c r="I815" s="46"/>
      <c r="J815" s="46"/>
      <c r="K815" s="46"/>
      <c r="L815" s="51"/>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51"/>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46"/>
      <c r="BZ815" s="46"/>
      <c r="CA815" s="46"/>
      <c r="CB815" s="46"/>
      <c r="CC815" s="46"/>
      <c r="CD815" s="46"/>
      <c r="CE815" s="46"/>
      <c r="CF815" s="46"/>
      <c r="CG815" s="46"/>
      <c r="CH815" s="46"/>
      <c r="CI815" s="46"/>
      <c r="CJ815" s="46"/>
      <c r="CK815" s="46"/>
      <c r="CL815" s="46"/>
      <c r="CM815" s="46"/>
      <c r="CN815" s="46"/>
    </row>
    <row r="816">
      <c r="A816" s="46"/>
      <c r="B816" s="46"/>
      <c r="C816" s="46"/>
      <c r="D816" s="46"/>
      <c r="E816" s="46"/>
      <c r="F816" s="46"/>
      <c r="G816" s="46"/>
      <c r="H816" s="46"/>
      <c r="I816" s="46"/>
      <c r="J816" s="46"/>
      <c r="K816" s="46"/>
      <c r="L816" s="51"/>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51"/>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46"/>
      <c r="BZ816" s="46"/>
      <c r="CA816" s="46"/>
      <c r="CB816" s="46"/>
      <c r="CC816" s="46"/>
      <c r="CD816" s="46"/>
      <c r="CE816" s="46"/>
      <c r="CF816" s="46"/>
      <c r="CG816" s="46"/>
      <c r="CH816" s="46"/>
      <c r="CI816" s="46"/>
      <c r="CJ816" s="46"/>
      <c r="CK816" s="46"/>
      <c r="CL816" s="46"/>
      <c r="CM816" s="46"/>
      <c r="CN816" s="46"/>
    </row>
    <row r="817">
      <c r="A817" s="46"/>
      <c r="B817" s="46"/>
      <c r="C817" s="46"/>
      <c r="D817" s="46"/>
      <c r="E817" s="46"/>
      <c r="F817" s="46"/>
      <c r="G817" s="46"/>
      <c r="H817" s="46"/>
      <c r="I817" s="46"/>
      <c r="J817" s="46"/>
      <c r="K817" s="46"/>
      <c r="L817" s="51"/>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51"/>
      <c r="BB817" s="46"/>
      <c r="BC817" s="46"/>
      <c r="BD817" s="46"/>
      <c r="BE817" s="46"/>
      <c r="BF817" s="46"/>
      <c r="BG817" s="46"/>
      <c r="BH817" s="46"/>
      <c r="BI817" s="46"/>
      <c r="BJ817" s="46"/>
      <c r="BK817" s="46"/>
      <c r="BL817" s="46"/>
      <c r="BM817" s="46"/>
      <c r="BN817" s="46"/>
      <c r="BO817" s="46"/>
      <c r="BP817" s="46"/>
      <c r="BQ817" s="46"/>
      <c r="BR817" s="46"/>
      <c r="BS817" s="46"/>
      <c r="BT817" s="46"/>
      <c r="BU817" s="46"/>
      <c r="BV817" s="46"/>
      <c r="BW817" s="46"/>
      <c r="BX817" s="46"/>
      <c r="BY817" s="46"/>
      <c r="BZ817" s="46"/>
      <c r="CA817" s="46"/>
      <c r="CB817" s="46"/>
      <c r="CC817" s="46"/>
      <c r="CD817" s="46"/>
      <c r="CE817" s="46"/>
      <c r="CF817" s="46"/>
      <c r="CG817" s="46"/>
      <c r="CH817" s="46"/>
      <c r="CI817" s="46"/>
      <c r="CJ817" s="46"/>
      <c r="CK817" s="46"/>
      <c r="CL817" s="46"/>
      <c r="CM817" s="46"/>
      <c r="CN817" s="46"/>
    </row>
    <row r="818">
      <c r="A818" s="46"/>
      <c r="B818" s="46"/>
      <c r="C818" s="46"/>
      <c r="D818" s="46"/>
      <c r="E818" s="46"/>
      <c r="F818" s="46"/>
      <c r="G818" s="46"/>
      <c r="H818" s="46"/>
      <c r="I818" s="46"/>
      <c r="J818" s="46"/>
      <c r="K818" s="46"/>
      <c r="L818" s="51"/>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51"/>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46"/>
      <c r="BZ818" s="46"/>
      <c r="CA818" s="46"/>
      <c r="CB818" s="46"/>
      <c r="CC818" s="46"/>
      <c r="CD818" s="46"/>
      <c r="CE818" s="46"/>
      <c r="CF818" s="46"/>
      <c r="CG818" s="46"/>
      <c r="CH818" s="46"/>
      <c r="CI818" s="46"/>
      <c r="CJ818" s="46"/>
      <c r="CK818" s="46"/>
      <c r="CL818" s="46"/>
      <c r="CM818" s="46"/>
      <c r="CN818" s="46"/>
    </row>
    <row r="819">
      <c r="A819" s="46"/>
      <c r="B819" s="46"/>
      <c r="C819" s="46"/>
      <c r="D819" s="46"/>
      <c r="E819" s="46"/>
      <c r="F819" s="46"/>
      <c r="G819" s="46"/>
      <c r="H819" s="46"/>
      <c r="I819" s="46"/>
      <c r="J819" s="46"/>
      <c r="K819" s="46"/>
      <c r="L819" s="51"/>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51"/>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46"/>
      <c r="BZ819" s="46"/>
      <c r="CA819" s="46"/>
      <c r="CB819" s="46"/>
      <c r="CC819" s="46"/>
      <c r="CD819" s="46"/>
      <c r="CE819" s="46"/>
      <c r="CF819" s="46"/>
      <c r="CG819" s="46"/>
      <c r="CH819" s="46"/>
      <c r="CI819" s="46"/>
      <c r="CJ819" s="46"/>
      <c r="CK819" s="46"/>
      <c r="CL819" s="46"/>
      <c r="CM819" s="46"/>
      <c r="CN819" s="46"/>
    </row>
    <row r="820">
      <c r="A820" s="46"/>
      <c r="B820" s="46"/>
      <c r="C820" s="46"/>
      <c r="D820" s="46"/>
      <c r="E820" s="46"/>
      <c r="F820" s="46"/>
      <c r="G820" s="46"/>
      <c r="H820" s="46"/>
      <c r="I820" s="46"/>
      <c r="J820" s="46"/>
      <c r="K820" s="46"/>
      <c r="L820" s="51"/>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51"/>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6"/>
      <c r="CA820" s="46"/>
      <c r="CB820" s="46"/>
      <c r="CC820" s="46"/>
      <c r="CD820" s="46"/>
      <c r="CE820" s="46"/>
      <c r="CF820" s="46"/>
      <c r="CG820" s="46"/>
      <c r="CH820" s="46"/>
      <c r="CI820" s="46"/>
      <c r="CJ820" s="46"/>
      <c r="CK820" s="46"/>
      <c r="CL820" s="46"/>
      <c r="CM820" s="46"/>
      <c r="CN820" s="46"/>
    </row>
    <row r="821">
      <c r="A821" s="46"/>
      <c r="B821" s="46"/>
      <c r="C821" s="46"/>
      <c r="D821" s="46"/>
      <c r="E821" s="46"/>
      <c r="F821" s="46"/>
      <c r="G821" s="46"/>
      <c r="H821" s="46"/>
      <c r="I821" s="46"/>
      <c r="J821" s="46"/>
      <c r="K821" s="46"/>
      <c r="L821" s="51"/>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51"/>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6"/>
      <c r="CA821" s="46"/>
      <c r="CB821" s="46"/>
      <c r="CC821" s="46"/>
      <c r="CD821" s="46"/>
      <c r="CE821" s="46"/>
      <c r="CF821" s="46"/>
      <c r="CG821" s="46"/>
      <c r="CH821" s="46"/>
      <c r="CI821" s="46"/>
      <c r="CJ821" s="46"/>
      <c r="CK821" s="46"/>
      <c r="CL821" s="46"/>
      <c r="CM821" s="46"/>
      <c r="CN821" s="46"/>
    </row>
    <row r="822">
      <c r="A822" s="46"/>
      <c r="B822" s="46"/>
      <c r="C822" s="46"/>
      <c r="D822" s="46"/>
      <c r="E822" s="46"/>
      <c r="F822" s="46"/>
      <c r="G822" s="46"/>
      <c r="H822" s="46"/>
      <c r="I822" s="46"/>
      <c r="J822" s="46"/>
      <c r="K822" s="46"/>
      <c r="L822" s="51"/>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51"/>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6"/>
      <c r="CA822" s="46"/>
      <c r="CB822" s="46"/>
      <c r="CC822" s="46"/>
      <c r="CD822" s="46"/>
      <c r="CE822" s="46"/>
      <c r="CF822" s="46"/>
      <c r="CG822" s="46"/>
      <c r="CH822" s="46"/>
      <c r="CI822" s="46"/>
      <c r="CJ822" s="46"/>
      <c r="CK822" s="46"/>
      <c r="CL822" s="46"/>
      <c r="CM822" s="46"/>
      <c r="CN822" s="46"/>
    </row>
    <row r="823">
      <c r="A823" s="46"/>
      <c r="B823" s="46"/>
      <c r="C823" s="46"/>
      <c r="D823" s="46"/>
      <c r="E823" s="46"/>
      <c r="F823" s="46"/>
      <c r="G823" s="46"/>
      <c r="H823" s="46"/>
      <c r="I823" s="46"/>
      <c r="J823" s="46"/>
      <c r="K823" s="46"/>
      <c r="L823" s="51"/>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51"/>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46"/>
      <c r="BZ823" s="46"/>
      <c r="CA823" s="46"/>
      <c r="CB823" s="46"/>
      <c r="CC823" s="46"/>
      <c r="CD823" s="46"/>
      <c r="CE823" s="46"/>
      <c r="CF823" s="46"/>
      <c r="CG823" s="46"/>
      <c r="CH823" s="46"/>
      <c r="CI823" s="46"/>
      <c r="CJ823" s="46"/>
      <c r="CK823" s="46"/>
      <c r="CL823" s="46"/>
      <c r="CM823" s="46"/>
      <c r="CN823" s="46"/>
    </row>
    <row r="824">
      <c r="A824" s="46"/>
      <c r="B824" s="46"/>
      <c r="C824" s="46"/>
      <c r="D824" s="46"/>
      <c r="E824" s="46"/>
      <c r="F824" s="46"/>
      <c r="G824" s="46"/>
      <c r="H824" s="46"/>
      <c r="I824" s="46"/>
      <c r="J824" s="46"/>
      <c r="K824" s="46"/>
      <c r="L824" s="51"/>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51"/>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6"/>
      <c r="CA824" s="46"/>
      <c r="CB824" s="46"/>
      <c r="CC824" s="46"/>
      <c r="CD824" s="46"/>
      <c r="CE824" s="46"/>
      <c r="CF824" s="46"/>
      <c r="CG824" s="46"/>
      <c r="CH824" s="46"/>
      <c r="CI824" s="46"/>
      <c r="CJ824" s="46"/>
      <c r="CK824" s="46"/>
      <c r="CL824" s="46"/>
      <c r="CM824" s="46"/>
      <c r="CN824" s="46"/>
    </row>
    <row r="825">
      <c r="A825" s="46"/>
      <c r="B825" s="46"/>
      <c r="C825" s="46"/>
      <c r="D825" s="46"/>
      <c r="E825" s="46"/>
      <c r="F825" s="46"/>
      <c r="G825" s="46"/>
      <c r="H825" s="46"/>
      <c r="I825" s="46"/>
      <c r="J825" s="46"/>
      <c r="K825" s="46"/>
      <c r="L825" s="51"/>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51"/>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6"/>
      <c r="CA825" s="46"/>
      <c r="CB825" s="46"/>
      <c r="CC825" s="46"/>
      <c r="CD825" s="46"/>
      <c r="CE825" s="46"/>
      <c r="CF825" s="46"/>
      <c r="CG825" s="46"/>
      <c r="CH825" s="46"/>
      <c r="CI825" s="46"/>
      <c r="CJ825" s="46"/>
      <c r="CK825" s="46"/>
      <c r="CL825" s="46"/>
      <c r="CM825" s="46"/>
      <c r="CN825" s="46"/>
    </row>
    <row r="826">
      <c r="A826" s="46"/>
      <c r="B826" s="46"/>
      <c r="C826" s="46"/>
      <c r="D826" s="46"/>
      <c r="E826" s="46"/>
      <c r="F826" s="46"/>
      <c r="G826" s="46"/>
      <c r="H826" s="46"/>
      <c r="I826" s="46"/>
      <c r="J826" s="46"/>
      <c r="K826" s="46"/>
      <c r="L826" s="51"/>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51"/>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6"/>
      <c r="CA826" s="46"/>
      <c r="CB826" s="46"/>
      <c r="CC826" s="46"/>
      <c r="CD826" s="46"/>
      <c r="CE826" s="46"/>
      <c r="CF826" s="46"/>
      <c r="CG826" s="46"/>
      <c r="CH826" s="46"/>
      <c r="CI826" s="46"/>
      <c r="CJ826" s="46"/>
      <c r="CK826" s="46"/>
      <c r="CL826" s="46"/>
      <c r="CM826" s="46"/>
      <c r="CN826" s="46"/>
    </row>
    <row r="827">
      <c r="A827" s="46"/>
      <c r="B827" s="46"/>
      <c r="C827" s="46"/>
      <c r="D827" s="46"/>
      <c r="E827" s="46"/>
      <c r="F827" s="46"/>
      <c r="G827" s="46"/>
      <c r="H827" s="46"/>
      <c r="I827" s="46"/>
      <c r="J827" s="46"/>
      <c r="K827" s="46"/>
      <c r="L827" s="51"/>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51"/>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6"/>
      <c r="CA827" s="46"/>
      <c r="CB827" s="46"/>
      <c r="CC827" s="46"/>
      <c r="CD827" s="46"/>
      <c r="CE827" s="46"/>
      <c r="CF827" s="46"/>
      <c r="CG827" s="46"/>
      <c r="CH827" s="46"/>
      <c r="CI827" s="46"/>
      <c r="CJ827" s="46"/>
      <c r="CK827" s="46"/>
      <c r="CL827" s="46"/>
      <c r="CM827" s="46"/>
      <c r="CN827" s="46"/>
    </row>
    <row r="828">
      <c r="A828" s="46"/>
      <c r="B828" s="46"/>
      <c r="C828" s="46"/>
      <c r="D828" s="46"/>
      <c r="E828" s="46"/>
      <c r="F828" s="46"/>
      <c r="G828" s="46"/>
      <c r="H828" s="46"/>
      <c r="I828" s="46"/>
      <c r="J828" s="46"/>
      <c r="K828" s="46"/>
      <c r="L828" s="51"/>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51"/>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6"/>
      <c r="CA828" s="46"/>
      <c r="CB828" s="46"/>
      <c r="CC828" s="46"/>
      <c r="CD828" s="46"/>
      <c r="CE828" s="46"/>
      <c r="CF828" s="46"/>
      <c r="CG828" s="46"/>
      <c r="CH828" s="46"/>
      <c r="CI828" s="46"/>
      <c r="CJ828" s="46"/>
      <c r="CK828" s="46"/>
      <c r="CL828" s="46"/>
      <c r="CM828" s="46"/>
      <c r="CN828" s="46"/>
    </row>
    <row r="829">
      <c r="A829" s="46"/>
      <c r="B829" s="46"/>
      <c r="C829" s="46"/>
      <c r="D829" s="46"/>
      <c r="E829" s="46"/>
      <c r="F829" s="46"/>
      <c r="G829" s="46"/>
      <c r="H829" s="46"/>
      <c r="I829" s="46"/>
      <c r="J829" s="46"/>
      <c r="K829" s="46"/>
      <c r="L829" s="51"/>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51"/>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6"/>
      <c r="CA829" s="46"/>
      <c r="CB829" s="46"/>
      <c r="CC829" s="46"/>
      <c r="CD829" s="46"/>
      <c r="CE829" s="46"/>
      <c r="CF829" s="46"/>
      <c r="CG829" s="46"/>
      <c r="CH829" s="46"/>
      <c r="CI829" s="46"/>
      <c r="CJ829" s="46"/>
      <c r="CK829" s="46"/>
      <c r="CL829" s="46"/>
      <c r="CM829" s="46"/>
      <c r="CN829" s="46"/>
    </row>
    <row r="830">
      <c r="A830" s="46"/>
      <c r="B830" s="46"/>
      <c r="C830" s="46"/>
      <c r="D830" s="46"/>
      <c r="E830" s="46"/>
      <c r="F830" s="46"/>
      <c r="G830" s="46"/>
      <c r="H830" s="46"/>
      <c r="I830" s="46"/>
      <c r="J830" s="46"/>
      <c r="K830" s="46"/>
      <c r="L830" s="51"/>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51"/>
      <c r="BB830" s="46"/>
      <c r="BC830" s="46"/>
      <c r="BD830" s="46"/>
      <c r="BE830" s="46"/>
      <c r="BF830" s="46"/>
      <c r="BG830" s="46"/>
      <c r="BH830" s="46"/>
      <c r="BI830" s="46"/>
      <c r="BJ830" s="46"/>
      <c r="BK830" s="46"/>
      <c r="BL830" s="46"/>
      <c r="BM830" s="46"/>
      <c r="BN830" s="46"/>
      <c r="BO830" s="46"/>
      <c r="BP830" s="46"/>
      <c r="BQ830" s="46"/>
      <c r="BR830" s="46"/>
      <c r="BS830" s="46"/>
      <c r="BT830" s="46"/>
      <c r="BU830" s="46"/>
      <c r="BV830" s="46"/>
      <c r="BW830" s="46"/>
      <c r="BX830" s="46"/>
      <c r="BY830" s="46"/>
      <c r="BZ830" s="46"/>
      <c r="CA830" s="46"/>
      <c r="CB830" s="46"/>
      <c r="CC830" s="46"/>
      <c r="CD830" s="46"/>
      <c r="CE830" s="46"/>
      <c r="CF830" s="46"/>
      <c r="CG830" s="46"/>
      <c r="CH830" s="46"/>
      <c r="CI830" s="46"/>
      <c r="CJ830" s="46"/>
      <c r="CK830" s="46"/>
      <c r="CL830" s="46"/>
      <c r="CM830" s="46"/>
      <c r="CN830" s="46"/>
    </row>
    <row r="831">
      <c r="A831" s="46"/>
      <c r="B831" s="46"/>
      <c r="C831" s="46"/>
      <c r="D831" s="46"/>
      <c r="E831" s="46"/>
      <c r="F831" s="46"/>
      <c r="G831" s="46"/>
      <c r="H831" s="46"/>
      <c r="I831" s="46"/>
      <c r="J831" s="46"/>
      <c r="K831" s="46"/>
      <c r="L831" s="51"/>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51"/>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6"/>
      <c r="CA831" s="46"/>
      <c r="CB831" s="46"/>
      <c r="CC831" s="46"/>
      <c r="CD831" s="46"/>
      <c r="CE831" s="46"/>
      <c r="CF831" s="46"/>
      <c r="CG831" s="46"/>
      <c r="CH831" s="46"/>
      <c r="CI831" s="46"/>
      <c r="CJ831" s="46"/>
      <c r="CK831" s="46"/>
      <c r="CL831" s="46"/>
      <c r="CM831" s="46"/>
      <c r="CN831" s="46"/>
    </row>
    <row r="832">
      <c r="A832" s="46"/>
      <c r="B832" s="46"/>
      <c r="C832" s="46"/>
      <c r="D832" s="46"/>
      <c r="E832" s="46"/>
      <c r="F832" s="46"/>
      <c r="G832" s="46"/>
      <c r="H832" s="46"/>
      <c r="I832" s="46"/>
      <c r="J832" s="46"/>
      <c r="K832" s="46"/>
      <c r="L832" s="51"/>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51"/>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6"/>
      <c r="CA832" s="46"/>
      <c r="CB832" s="46"/>
      <c r="CC832" s="46"/>
      <c r="CD832" s="46"/>
      <c r="CE832" s="46"/>
      <c r="CF832" s="46"/>
      <c r="CG832" s="46"/>
      <c r="CH832" s="46"/>
      <c r="CI832" s="46"/>
      <c r="CJ832" s="46"/>
      <c r="CK832" s="46"/>
      <c r="CL832" s="46"/>
      <c r="CM832" s="46"/>
      <c r="CN832" s="46"/>
    </row>
    <row r="833">
      <c r="A833" s="46"/>
      <c r="B833" s="46"/>
      <c r="C833" s="46"/>
      <c r="D833" s="46"/>
      <c r="E833" s="46"/>
      <c r="F833" s="46"/>
      <c r="G833" s="46"/>
      <c r="H833" s="46"/>
      <c r="I833" s="46"/>
      <c r="J833" s="46"/>
      <c r="K833" s="46"/>
      <c r="L833" s="51"/>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51"/>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6"/>
      <c r="CA833" s="46"/>
      <c r="CB833" s="46"/>
      <c r="CC833" s="46"/>
      <c r="CD833" s="46"/>
      <c r="CE833" s="46"/>
      <c r="CF833" s="46"/>
      <c r="CG833" s="46"/>
      <c r="CH833" s="46"/>
      <c r="CI833" s="46"/>
      <c r="CJ833" s="46"/>
      <c r="CK833" s="46"/>
      <c r="CL833" s="46"/>
      <c r="CM833" s="46"/>
      <c r="CN833" s="46"/>
    </row>
    <row r="834">
      <c r="A834" s="46"/>
      <c r="B834" s="46"/>
      <c r="C834" s="46"/>
      <c r="D834" s="46"/>
      <c r="E834" s="46"/>
      <c r="F834" s="46"/>
      <c r="G834" s="46"/>
      <c r="H834" s="46"/>
      <c r="I834" s="46"/>
      <c r="J834" s="46"/>
      <c r="K834" s="46"/>
      <c r="L834" s="51"/>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51"/>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6"/>
      <c r="CA834" s="46"/>
      <c r="CB834" s="46"/>
      <c r="CC834" s="46"/>
      <c r="CD834" s="46"/>
      <c r="CE834" s="46"/>
      <c r="CF834" s="46"/>
      <c r="CG834" s="46"/>
      <c r="CH834" s="46"/>
      <c r="CI834" s="46"/>
      <c r="CJ834" s="46"/>
      <c r="CK834" s="46"/>
      <c r="CL834" s="46"/>
      <c r="CM834" s="46"/>
      <c r="CN834" s="46"/>
    </row>
    <row r="835">
      <c r="A835" s="46"/>
      <c r="B835" s="46"/>
      <c r="C835" s="46"/>
      <c r="D835" s="46"/>
      <c r="E835" s="46"/>
      <c r="F835" s="46"/>
      <c r="G835" s="46"/>
      <c r="H835" s="46"/>
      <c r="I835" s="46"/>
      <c r="J835" s="46"/>
      <c r="K835" s="46"/>
      <c r="L835" s="51"/>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51"/>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6"/>
      <c r="CA835" s="46"/>
      <c r="CB835" s="46"/>
      <c r="CC835" s="46"/>
      <c r="CD835" s="46"/>
      <c r="CE835" s="46"/>
      <c r="CF835" s="46"/>
      <c r="CG835" s="46"/>
      <c r="CH835" s="46"/>
      <c r="CI835" s="46"/>
      <c r="CJ835" s="46"/>
      <c r="CK835" s="46"/>
      <c r="CL835" s="46"/>
      <c r="CM835" s="46"/>
      <c r="CN835" s="46"/>
    </row>
    <row r="836">
      <c r="A836" s="46"/>
      <c r="B836" s="46"/>
      <c r="C836" s="46"/>
      <c r="D836" s="46"/>
      <c r="E836" s="46"/>
      <c r="F836" s="46"/>
      <c r="G836" s="46"/>
      <c r="H836" s="46"/>
      <c r="I836" s="46"/>
      <c r="J836" s="46"/>
      <c r="K836" s="46"/>
      <c r="L836" s="51"/>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51"/>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6"/>
      <c r="CA836" s="46"/>
      <c r="CB836" s="46"/>
      <c r="CC836" s="46"/>
      <c r="CD836" s="46"/>
      <c r="CE836" s="46"/>
      <c r="CF836" s="46"/>
      <c r="CG836" s="46"/>
      <c r="CH836" s="46"/>
      <c r="CI836" s="46"/>
      <c r="CJ836" s="46"/>
      <c r="CK836" s="46"/>
      <c r="CL836" s="46"/>
      <c r="CM836" s="46"/>
      <c r="CN836" s="46"/>
    </row>
    <row r="837">
      <c r="A837" s="46"/>
      <c r="B837" s="46"/>
      <c r="C837" s="46"/>
      <c r="D837" s="46"/>
      <c r="E837" s="46"/>
      <c r="F837" s="46"/>
      <c r="G837" s="46"/>
      <c r="H837" s="46"/>
      <c r="I837" s="46"/>
      <c r="J837" s="46"/>
      <c r="K837" s="46"/>
      <c r="L837" s="51"/>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51"/>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6"/>
      <c r="CA837" s="46"/>
      <c r="CB837" s="46"/>
      <c r="CC837" s="46"/>
      <c r="CD837" s="46"/>
      <c r="CE837" s="46"/>
      <c r="CF837" s="46"/>
      <c r="CG837" s="46"/>
      <c r="CH837" s="46"/>
      <c r="CI837" s="46"/>
      <c r="CJ837" s="46"/>
      <c r="CK837" s="46"/>
      <c r="CL837" s="46"/>
      <c r="CM837" s="46"/>
      <c r="CN837" s="46"/>
    </row>
    <row r="838">
      <c r="A838" s="46"/>
      <c r="B838" s="46"/>
      <c r="C838" s="46"/>
      <c r="D838" s="46"/>
      <c r="E838" s="46"/>
      <c r="F838" s="46"/>
      <c r="G838" s="46"/>
      <c r="H838" s="46"/>
      <c r="I838" s="46"/>
      <c r="J838" s="46"/>
      <c r="K838" s="46"/>
      <c r="L838" s="51"/>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51"/>
      <c r="BB838" s="46"/>
      <c r="BC838" s="46"/>
      <c r="BD838" s="46"/>
      <c r="BE838" s="46"/>
      <c r="BF838" s="46"/>
      <c r="BG838" s="46"/>
      <c r="BH838" s="46"/>
      <c r="BI838" s="46"/>
      <c r="BJ838" s="46"/>
      <c r="BK838" s="46"/>
      <c r="BL838" s="46"/>
      <c r="BM838" s="46"/>
      <c r="BN838" s="46"/>
      <c r="BO838" s="46"/>
      <c r="BP838" s="46"/>
      <c r="BQ838" s="46"/>
      <c r="BR838" s="46"/>
      <c r="BS838" s="46"/>
      <c r="BT838" s="46"/>
      <c r="BU838" s="46"/>
      <c r="BV838" s="46"/>
      <c r="BW838" s="46"/>
      <c r="BX838" s="46"/>
      <c r="BY838" s="46"/>
      <c r="BZ838" s="46"/>
      <c r="CA838" s="46"/>
      <c r="CB838" s="46"/>
      <c r="CC838" s="46"/>
      <c r="CD838" s="46"/>
      <c r="CE838" s="46"/>
      <c r="CF838" s="46"/>
      <c r="CG838" s="46"/>
      <c r="CH838" s="46"/>
      <c r="CI838" s="46"/>
      <c r="CJ838" s="46"/>
      <c r="CK838" s="46"/>
      <c r="CL838" s="46"/>
      <c r="CM838" s="46"/>
      <c r="CN838" s="46"/>
    </row>
    <row r="839">
      <c r="A839" s="46"/>
      <c r="B839" s="46"/>
      <c r="C839" s="46"/>
      <c r="D839" s="46"/>
      <c r="E839" s="46"/>
      <c r="F839" s="46"/>
      <c r="G839" s="46"/>
      <c r="H839" s="46"/>
      <c r="I839" s="46"/>
      <c r="J839" s="46"/>
      <c r="K839" s="46"/>
      <c r="L839" s="51"/>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51"/>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6"/>
      <c r="CA839" s="46"/>
      <c r="CB839" s="46"/>
      <c r="CC839" s="46"/>
      <c r="CD839" s="46"/>
      <c r="CE839" s="46"/>
      <c r="CF839" s="46"/>
      <c r="CG839" s="46"/>
      <c r="CH839" s="46"/>
      <c r="CI839" s="46"/>
      <c r="CJ839" s="46"/>
      <c r="CK839" s="46"/>
      <c r="CL839" s="46"/>
      <c r="CM839" s="46"/>
      <c r="CN839" s="46"/>
    </row>
    <row r="840">
      <c r="A840" s="46"/>
      <c r="B840" s="46"/>
      <c r="C840" s="46"/>
      <c r="D840" s="46"/>
      <c r="E840" s="46"/>
      <c r="F840" s="46"/>
      <c r="G840" s="46"/>
      <c r="H840" s="46"/>
      <c r="I840" s="46"/>
      <c r="J840" s="46"/>
      <c r="K840" s="46"/>
      <c r="L840" s="51"/>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51"/>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6"/>
      <c r="CA840" s="46"/>
      <c r="CB840" s="46"/>
      <c r="CC840" s="46"/>
      <c r="CD840" s="46"/>
      <c r="CE840" s="46"/>
      <c r="CF840" s="46"/>
      <c r="CG840" s="46"/>
      <c r="CH840" s="46"/>
      <c r="CI840" s="46"/>
      <c r="CJ840" s="46"/>
      <c r="CK840" s="46"/>
      <c r="CL840" s="46"/>
      <c r="CM840" s="46"/>
      <c r="CN840" s="46"/>
    </row>
    <row r="841">
      <c r="A841" s="46"/>
      <c r="B841" s="46"/>
      <c r="C841" s="46"/>
      <c r="D841" s="46"/>
      <c r="E841" s="46"/>
      <c r="F841" s="46"/>
      <c r="G841" s="46"/>
      <c r="H841" s="46"/>
      <c r="I841" s="46"/>
      <c r="J841" s="46"/>
      <c r="K841" s="46"/>
      <c r="L841" s="51"/>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51"/>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6"/>
      <c r="CA841" s="46"/>
      <c r="CB841" s="46"/>
      <c r="CC841" s="46"/>
      <c r="CD841" s="46"/>
      <c r="CE841" s="46"/>
      <c r="CF841" s="46"/>
      <c r="CG841" s="46"/>
      <c r="CH841" s="46"/>
      <c r="CI841" s="46"/>
      <c r="CJ841" s="46"/>
      <c r="CK841" s="46"/>
      <c r="CL841" s="46"/>
      <c r="CM841" s="46"/>
      <c r="CN841" s="46"/>
    </row>
    <row r="842">
      <c r="A842" s="46"/>
      <c r="B842" s="46"/>
      <c r="C842" s="46"/>
      <c r="D842" s="46"/>
      <c r="E842" s="46"/>
      <c r="F842" s="46"/>
      <c r="G842" s="46"/>
      <c r="H842" s="46"/>
      <c r="I842" s="46"/>
      <c r="J842" s="46"/>
      <c r="K842" s="46"/>
      <c r="L842" s="51"/>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51"/>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6"/>
      <c r="CA842" s="46"/>
      <c r="CB842" s="46"/>
      <c r="CC842" s="46"/>
      <c r="CD842" s="46"/>
      <c r="CE842" s="46"/>
      <c r="CF842" s="46"/>
      <c r="CG842" s="46"/>
      <c r="CH842" s="46"/>
      <c r="CI842" s="46"/>
      <c r="CJ842" s="46"/>
      <c r="CK842" s="46"/>
      <c r="CL842" s="46"/>
      <c r="CM842" s="46"/>
      <c r="CN842" s="46"/>
    </row>
    <row r="843">
      <c r="A843" s="46"/>
      <c r="B843" s="46"/>
      <c r="C843" s="46"/>
      <c r="D843" s="46"/>
      <c r="E843" s="46"/>
      <c r="F843" s="46"/>
      <c r="G843" s="46"/>
      <c r="H843" s="46"/>
      <c r="I843" s="46"/>
      <c r="J843" s="46"/>
      <c r="K843" s="46"/>
      <c r="L843" s="51"/>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51"/>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6"/>
      <c r="CA843" s="46"/>
      <c r="CB843" s="46"/>
      <c r="CC843" s="46"/>
      <c r="CD843" s="46"/>
      <c r="CE843" s="46"/>
      <c r="CF843" s="46"/>
      <c r="CG843" s="46"/>
      <c r="CH843" s="46"/>
      <c r="CI843" s="46"/>
      <c r="CJ843" s="46"/>
      <c r="CK843" s="46"/>
      <c r="CL843" s="46"/>
      <c r="CM843" s="46"/>
      <c r="CN843" s="46"/>
    </row>
    <row r="844">
      <c r="A844" s="46"/>
      <c r="B844" s="46"/>
      <c r="C844" s="46"/>
      <c r="D844" s="46"/>
      <c r="E844" s="46"/>
      <c r="F844" s="46"/>
      <c r="G844" s="46"/>
      <c r="H844" s="46"/>
      <c r="I844" s="46"/>
      <c r="J844" s="46"/>
      <c r="K844" s="46"/>
      <c r="L844" s="51"/>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51"/>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6"/>
      <c r="CA844" s="46"/>
      <c r="CB844" s="46"/>
      <c r="CC844" s="46"/>
      <c r="CD844" s="46"/>
      <c r="CE844" s="46"/>
      <c r="CF844" s="46"/>
      <c r="CG844" s="46"/>
      <c r="CH844" s="46"/>
      <c r="CI844" s="46"/>
      <c r="CJ844" s="46"/>
      <c r="CK844" s="46"/>
      <c r="CL844" s="46"/>
      <c r="CM844" s="46"/>
      <c r="CN844" s="46"/>
    </row>
    <row r="845">
      <c r="A845" s="46"/>
      <c r="B845" s="46"/>
      <c r="C845" s="46"/>
      <c r="D845" s="46"/>
      <c r="E845" s="46"/>
      <c r="F845" s="46"/>
      <c r="G845" s="46"/>
      <c r="H845" s="46"/>
      <c r="I845" s="46"/>
      <c r="J845" s="46"/>
      <c r="K845" s="46"/>
      <c r="L845" s="51"/>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51"/>
      <c r="BB845" s="46"/>
      <c r="BC845" s="46"/>
      <c r="BD845" s="46"/>
      <c r="BE845" s="46"/>
      <c r="BF845" s="46"/>
      <c r="BG845" s="46"/>
      <c r="BH845" s="46"/>
      <c r="BI845" s="46"/>
      <c r="BJ845" s="46"/>
      <c r="BK845" s="46"/>
      <c r="BL845" s="46"/>
      <c r="BM845" s="46"/>
      <c r="BN845" s="46"/>
      <c r="BO845" s="46"/>
      <c r="BP845" s="46"/>
      <c r="BQ845" s="46"/>
      <c r="BR845" s="46"/>
      <c r="BS845" s="46"/>
      <c r="BT845" s="46"/>
      <c r="BU845" s="46"/>
      <c r="BV845" s="46"/>
      <c r="BW845" s="46"/>
      <c r="BX845" s="46"/>
      <c r="BY845" s="46"/>
      <c r="BZ845" s="46"/>
      <c r="CA845" s="46"/>
      <c r="CB845" s="46"/>
      <c r="CC845" s="46"/>
      <c r="CD845" s="46"/>
      <c r="CE845" s="46"/>
      <c r="CF845" s="46"/>
      <c r="CG845" s="46"/>
      <c r="CH845" s="46"/>
      <c r="CI845" s="46"/>
      <c r="CJ845" s="46"/>
      <c r="CK845" s="46"/>
      <c r="CL845" s="46"/>
      <c r="CM845" s="46"/>
      <c r="CN845" s="46"/>
    </row>
    <row r="846">
      <c r="A846" s="46"/>
      <c r="B846" s="46"/>
      <c r="C846" s="46"/>
      <c r="D846" s="46"/>
      <c r="E846" s="46"/>
      <c r="F846" s="46"/>
      <c r="G846" s="46"/>
      <c r="H846" s="46"/>
      <c r="I846" s="46"/>
      <c r="J846" s="46"/>
      <c r="K846" s="46"/>
      <c r="L846" s="51"/>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51"/>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6"/>
      <c r="CA846" s="46"/>
      <c r="CB846" s="46"/>
      <c r="CC846" s="46"/>
      <c r="CD846" s="46"/>
      <c r="CE846" s="46"/>
      <c r="CF846" s="46"/>
      <c r="CG846" s="46"/>
      <c r="CH846" s="46"/>
      <c r="CI846" s="46"/>
      <c r="CJ846" s="46"/>
      <c r="CK846" s="46"/>
      <c r="CL846" s="46"/>
      <c r="CM846" s="46"/>
      <c r="CN846" s="46"/>
    </row>
    <row r="847">
      <c r="A847" s="46"/>
      <c r="B847" s="46"/>
      <c r="C847" s="46"/>
      <c r="D847" s="46"/>
      <c r="E847" s="46"/>
      <c r="F847" s="46"/>
      <c r="G847" s="46"/>
      <c r="H847" s="46"/>
      <c r="I847" s="46"/>
      <c r="J847" s="46"/>
      <c r="K847" s="46"/>
      <c r="L847" s="51"/>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51"/>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6"/>
      <c r="CA847" s="46"/>
      <c r="CB847" s="46"/>
      <c r="CC847" s="46"/>
      <c r="CD847" s="46"/>
      <c r="CE847" s="46"/>
      <c r="CF847" s="46"/>
      <c r="CG847" s="46"/>
      <c r="CH847" s="46"/>
      <c r="CI847" s="46"/>
      <c r="CJ847" s="46"/>
      <c r="CK847" s="46"/>
      <c r="CL847" s="46"/>
      <c r="CM847" s="46"/>
      <c r="CN847" s="46"/>
    </row>
    <row r="848">
      <c r="A848" s="46"/>
      <c r="B848" s="46"/>
      <c r="C848" s="46"/>
      <c r="D848" s="46"/>
      <c r="E848" s="46"/>
      <c r="F848" s="46"/>
      <c r="G848" s="46"/>
      <c r="H848" s="46"/>
      <c r="I848" s="46"/>
      <c r="J848" s="46"/>
      <c r="K848" s="46"/>
      <c r="L848" s="51"/>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51"/>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6"/>
      <c r="CA848" s="46"/>
      <c r="CB848" s="46"/>
      <c r="CC848" s="46"/>
      <c r="CD848" s="46"/>
      <c r="CE848" s="46"/>
      <c r="CF848" s="46"/>
      <c r="CG848" s="46"/>
      <c r="CH848" s="46"/>
      <c r="CI848" s="46"/>
      <c r="CJ848" s="46"/>
      <c r="CK848" s="46"/>
      <c r="CL848" s="46"/>
      <c r="CM848" s="46"/>
      <c r="CN848" s="46"/>
    </row>
    <row r="849">
      <c r="A849" s="46"/>
      <c r="B849" s="46"/>
      <c r="C849" s="46"/>
      <c r="D849" s="46"/>
      <c r="E849" s="46"/>
      <c r="F849" s="46"/>
      <c r="G849" s="46"/>
      <c r="H849" s="46"/>
      <c r="I849" s="46"/>
      <c r="J849" s="46"/>
      <c r="K849" s="46"/>
      <c r="L849" s="51"/>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51"/>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6"/>
      <c r="CA849" s="46"/>
      <c r="CB849" s="46"/>
      <c r="CC849" s="46"/>
      <c r="CD849" s="46"/>
      <c r="CE849" s="46"/>
      <c r="CF849" s="46"/>
      <c r="CG849" s="46"/>
      <c r="CH849" s="46"/>
      <c r="CI849" s="46"/>
      <c r="CJ849" s="46"/>
      <c r="CK849" s="46"/>
      <c r="CL849" s="46"/>
      <c r="CM849" s="46"/>
      <c r="CN849" s="46"/>
    </row>
    <row r="850">
      <c r="A850" s="46"/>
      <c r="B850" s="46"/>
      <c r="C850" s="46"/>
      <c r="D850" s="46"/>
      <c r="E850" s="46"/>
      <c r="F850" s="46"/>
      <c r="G850" s="46"/>
      <c r="H850" s="46"/>
      <c r="I850" s="46"/>
      <c r="J850" s="46"/>
      <c r="K850" s="46"/>
      <c r="L850" s="51"/>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51"/>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6"/>
      <c r="CA850" s="46"/>
      <c r="CB850" s="46"/>
      <c r="CC850" s="46"/>
      <c r="CD850" s="46"/>
      <c r="CE850" s="46"/>
      <c r="CF850" s="46"/>
      <c r="CG850" s="46"/>
      <c r="CH850" s="46"/>
      <c r="CI850" s="46"/>
      <c r="CJ850" s="46"/>
      <c r="CK850" s="46"/>
      <c r="CL850" s="46"/>
      <c r="CM850" s="46"/>
      <c r="CN850" s="46"/>
    </row>
    <row r="851">
      <c r="A851" s="46"/>
      <c r="B851" s="46"/>
      <c r="C851" s="46"/>
      <c r="D851" s="46"/>
      <c r="E851" s="46"/>
      <c r="F851" s="46"/>
      <c r="G851" s="46"/>
      <c r="H851" s="46"/>
      <c r="I851" s="46"/>
      <c r="J851" s="46"/>
      <c r="K851" s="46"/>
      <c r="L851" s="51"/>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51"/>
      <c r="BB851" s="46"/>
      <c r="BC851" s="46"/>
      <c r="BD851" s="46"/>
      <c r="BE851" s="46"/>
      <c r="BF851" s="46"/>
      <c r="BG851" s="46"/>
      <c r="BH851" s="46"/>
      <c r="BI851" s="46"/>
      <c r="BJ851" s="46"/>
      <c r="BK851" s="46"/>
      <c r="BL851" s="46"/>
      <c r="BM851" s="46"/>
      <c r="BN851" s="46"/>
      <c r="BO851" s="46"/>
      <c r="BP851" s="46"/>
      <c r="BQ851" s="46"/>
      <c r="BR851" s="46"/>
      <c r="BS851" s="46"/>
      <c r="BT851" s="46"/>
      <c r="BU851" s="46"/>
      <c r="BV851" s="46"/>
      <c r="BW851" s="46"/>
      <c r="BX851" s="46"/>
      <c r="BY851" s="46"/>
      <c r="BZ851" s="46"/>
      <c r="CA851" s="46"/>
      <c r="CB851" s="46"/>
      <c r="CC851" s="46"/>
      <c r="CD851" s="46"/>
      <c r="CE851" s="46"/>
      <c r="CF851" s="46"/>
      <c r="CG851" s="46"/>
      <c r="CH851" s="46"/>
      <c r="CI851" s="46"/>
      <c r="CJ851" s="46"/>
      <c r="CK851" s="46"/>
      <c r="CL851" s="46"/>
      <c r="CM851" s="46"/>
      <c r="CN851" s="46"/>
    </row>
    <row r="852">
      <c r="A852" s="46"/>
      <c r="B852" s="46"/>
      <c r="C852" s="46"/>
      <c r="D852" s="46"/>
      <c r="E852" s="46"/>
      <c r="F852" s="46"/>
      <c r="G852" s="46"/>
      <c r="H852" s="46"/>
      <c r="I852" s="46"/>
      <c r="J852" s="46"/>
      <c r="K852" s="46"/>
      <c r="L852" s="51"/>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51"/>
      <c r="BB852" s="46"/>
      <c r="BC852" s="46"/>
      <c r="BD852" s="46"/>
      <c r="BE852" s="46"/>
      <c r="BF852" s="46"/>
      <c r="BG852" s="46"/>
      <c r="BH852" s="46"/>
      <c r="BI852" s="46"/>
      <c r="BJ852" s="46"/>
      <c r="BK852" s="46"/>
      <c r="BL852" s="46"/>
      <c r="BM852" s="46"/>
      <c r="BN852" s="46"/>
      <c r="BO852" s="46"/>
      <c r="BP852" s="46"/>
      <c r="BQ852" s="46"/>
      <c r="BR852" s="46"/>
      <c r="BS852" s="46"/>
      <c r="BT852" s="46"/>
      <c r="BU852" s="46"/>
      <c r="BV852" s="46"/>
      <c r="BW852" s="46"/>
      <c r="BX852" s="46"/>
      <c r="BY852" s="46"/>
      <c r="BZ852" s="46"/>
      <c r="CA852" s="46"/>
      <c r="CB852" s="46"/>
      <c r="CC852" s="46"/>
      <c r="CD852" s="46"/>
      <c r="CE852" s="46"/>
      <c r="CF852" s="46"/>
      <c r="CG852" s="46"/>
      <c r="CH852" s="46"/>
      <c r="CI852" s="46"/>
      <c r="CJ852" s="46"/>
      <c r="CK852" s="46"/>
      <c r="CL852" s="46"/>
      <c r="CM852" s="46"/>
      <c r="CN852" s="46"/>
    </row>
    <row r="853">
      <c r="A853" s="46"/>
      <c r="B853" s="46"/>
      <c r="C853" s="46"/>
      <c r="D853" s="46"/>
      <c r="E853" s="46"/>
      <c r="F853" s="46"/>
      <c r="G853" s="46"/>
      <c r="H853" s="46"/>
      <c r="I853" s="46"/>
      <c r="J853" s="46"/>
      <c r="K853" s="46"/>
      <c r="L853" s="51"/>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51"/>
      <c r="BB853" s="46"/>
      <c r="BC853" s="46"/>
      <c r="BD853" s="46"/>
      <c r="BE853" s="46"/>
      <c r="BF853" s="46"/>
      <c r="BG853" s="46"/>
      <c r="BH853" s="46"/>
      <c r="BI853" s="46"/>
      <c r="BJ853" s="46"/>
      <c r="BK853" s="46"/>
      <c r="BL853" s="46"/>
      <c r="BM853" s="46"/>
      <c r="BN853" s="46"/>
      <c r="BO853" s="46"/>
      <c r="BP853" s="46"/>
      <c r="BQ853" s="46"/>
      <c r="BR853" s="46"/>
      <c r="BS853" s="46"/>
      <c r="BT853" s="46"/>
      <c r="BU853" s="46"/>
      <c r="BV853" s="46"/>
      <c r="BW853" s="46"/>
      <c r="BX853" s="46"/>
      <c r="BY853" s="46"/>
      <c r="BZ853" s="46"/>
      <c r="CA853" s="46"/>
      <c r="CB853" s="46"/>
      <c r="CC853" s="46"/>
      <c r="CD853" s="46"/>
      <c r="CE853" s="46"/>
      <c r="CF853" s="46"/>
      <c r="CG853" s="46"/>
      <c r="CH853" s="46"/>
      <c r="CI853" s="46"/>
      <c r="CJ853" s="46"/>
      <c r="CK853" s="46"/>
      <c r="CL853" s="46"/>
      <c r="CM853" s="46"/>
      <c r="CN853" s="46"/>
    </row>
    <row r="854">
      <c r="A854" s="46"/>
      <c r="B854" s="46"/>
      <c r="C854" s="46"/>
      <c r="D854" s="46"/>
      <c r="E854" s="46"/>
      <c r="F854" s="46"/>
      <c r="G854" s="46"/>
      <c r="H854" s="46"/>
      <c r="I854" s="46"/>
      <c r="J854" s="46"/>
      <c r="K854" s="46"/>
      <c r="L854" s="51"/>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51"/>
      <c r="BB854" s="46"/>
      <c r="BC854" s="46"/>
      <c r="BD854" s="46"/>
      <c r="BE854" s="46"/>
      <c r="BF854" s="46"/>
      <c r="BG854" s="46"/>
      <c r="BH854" s="46"/>
      <c r="BI854" s="46"/>
      <c r="BJ854" s="46"/>
      <c r="BK854" s="46"/>
      <c r="BL854" s="46"/>
      <c r="BM854" s="46"/>
      <c r="BN854" s="46"/>
      <c r="BO854" s="46"/>
      <c r="BP854" s="46"/>
      <c r="BQ854" s="46"/>
      <c r="BR854" s="46"/>
      <c r="BS854" s="46"/>
      <c r="BT854" s="46"/>
      <c r="BU854" s="46"/>
      <c r="BV854" s="46"/>
      <c r="BW854" s="46"/>
      <c r="BX854" s="46"/>
      <c r="BY854" s="46"/>
      <c r="BZ854" s="46"/>
      <c r="CA854" s="46"/>
      <c r="CB854" s="46"/>
      <c r="CC854" s="46"/>
      <c r="CD854" s="46"/>
      <c r="CE854" s="46"/>
      <c r="CF854" s="46"/>
      <c r="CG854" s="46"/>
      <c r="CH854" s="46"/>
      <c r="CI854" s="46"/>
      <c r="CJ854" s="46"/>
      <c r="CK854" s="46"/>
      <c r="CL854" s="46"/>
      <c r="CM854" s="46"/>
      <c r="CN854" s="46"/>
    </row>
    <row r="855">
      <c r="A855" s="46"/>
      <c r="B855" s="46"/>
      <c r="C855" s="46"/>
      <c r="D855" s="46"/>
      <c r="E855" s="46"/>
      <c r="F855" s="46"/>
      <c r="G855" s="46"/>
      <c r="H855" s="46"/>
      <c r="I855" s="46"/>
      <c r="J855" s="46"/>
      <c r="K855" s="46"/>
      <c r="L855" s="51"/>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51"/>
      <c r="BB855" s="46"/>
      <c r="BC855" s="46"/>
      <c r="BD855" s="46"/>
      <c r="BE855" s="46"/>
      <c r="BF855" s="46"/>
      <c r="BG855" s="46"/>
      <c r="BH855" s="46"/>
      <c r="BI855" s="46"/>
      <c r="BJ855" s="46"/>
      <c r="BK855" s="46"/>
      <c r="BL855" s="46"/>
      <c r="BM855" s="46"/>
      <c r="BN855" s="46"/>
      <c r="BO855" s="46"/>
      <c r="BP855" s="46"/>
      <c r="BQ855" s="46"/>
      <c r="BR855" s="46"/>
      <c r="BS855" s="46"/>
      <c r="BT855" s="46"/>
      <c r="BU855" s="46"/>
      <c r="BV855" s="46"/>
      <c r="BW855" s="46"/>
      <c r="BX855" s="46"/>
      <c r="BY855" s="46"/>
      <c r="BZ855" s="46"/>
      <c r="CA855" s="46"/>
      <c r="CB855" s="46"/>
      <c r="CC855" s="46"/>
      <c r="CD855" s="46"/>
      <c r="CE855" s="46"/>
      <c r="CF855" s="46"/>
      <c r="CG855" s="46"/>
      <c r="CH855" s="46"/>
      <c r="CI855" s="46"/>
      <c r="CJ855" s="46"/>
      <c r="CK855" s="46"/>
      <c r="CL855" s="46"/>
      <c r="CM855" s="46"/>
      <c r="CN855" s="46"/>
    </row>
    <row r="856">
      <c r="A856" s="46"/>
      <c r="B856" s="46"/>
      <c r="C856" s="46"/>
      <c r="D856" s="46"/>
      <c r="E856" s="46"/>
      <c r="F856" s="46"/>
      <c r="G856" s="46"/>
      <c r="H856" s="46"/>
      <c r="I856" s="46"/>
      <c r="J856" s="46"/>
      <c r="K856" s="46"/>
      <c r="L856" s="51"/>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51"/>
      <c r="BB856" s="46"/>
      <c r="BC856" s="46"/>
      <c r="BD856" s="46"/>
      <c r="BE856" s="46"/>
      <c r="BF856" s="46"/>
      <c r="BG856" s="46"/>
      <c r="BH856" s="46"/>
      <c r="BI856" s="46"/>
      <c r="BJ856" s="46"/>
      <c r="BK856" s="46"/>
      <c r="BL856" s="46"/>
      <c r="BM856" s="46"/>
      <c r="BN856" s="46"/>
      <c r="BO856" s="46"/>
      <c r="BP856" s="46"/>
      <c r="BQ856" s="46"/>
      <c r="BR856" s="46"/>
      <c r="BS856" s="46"/>
      <c r="BT856" s="46"/>
      <c r="BU856" s="46"/>
      <c r="BV856" s="46"/>
      <c r="BW856" s="46"/>
      <c r="BX856" s="46"/>
      <c r="BY856" s="46"/>
      <c r="BZ856" s="46"/>
      <c r="CA856" s="46"/>
      <c r="CB856" s="46"/>
      <c r="CC856" s="46"/>
      <c r="CD856" s="46"/>
      <c r="CE856" s="46"/>
      <c r="CF856" s="46"/>
      <c r="CG856" s="46"/>
      <c r="CH856" s="46"/>
      <c r="CI856" s="46"/>
      <c r="CJ856" s="46"/>
      <c r="CK856" s="46"/>
      <c r="CL856" s="46"/>
      <c r="CM856" s="46"/>
      <c r="CN856" s="46"/>
    </row>
    <row r="857">
      <c r="A857" s="46"/>
      <c r="B857" s="46"/>
      <c r="C857" s="46"/>
      <c r="D857" s="46"/>
      <c r="E857" s="46"/>
      <c r="F857" s="46"/>
      <c r="G857" s="46"/>
      <c r="H857" s="46"/>
      <c r="I857" s="46"/>
      <c r="J857" s="46"/>
      <c r="K857" s="46"/>
      <c r="L857" s="51"/>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51"/>
      <c r="BB857" s="46"/>
      <c r="BC857" s="46"/>
      <c r="BD857" s="46"/>
      <c r="BE857" s="46"/>
      <c r="BF857" s="46"/>
      <c r="BG857" s="46"/>
      <c r="BH857" s="46"/>
      <c r="BI857" s="46"/>
      <c r="BJ857" s="46"/>
      <c r="BK857" s="46"/>
      <c r="BL857" s="46"/>
      <c r="BM857" s="46"/>
      <c r="BN857" s="46"/>
      <c r="BO857" s="46"/>
      <c r="BP857" s="46"/>
      <c r="BQ857" s="46"/>
      <c r="BR857" s="46"/>
      <c r="BS857" s="46"/>
      <c r="BT857" s="46"/>
      <c r="BU857" s="46"/>
      <c r="BV857" s="46"/>
      <c r="BW857" s="46"/>
      <c r="BX857" s="46"/>
      <c r="BY857" s="46"/>
      <c r="BZ857" s="46"/>
      <c r="CA857" s="46"/>
      <c r="CB857" s="46"/>
      <c r="CC857" s="46"/>
      <c r="CD857" s="46"/>
      <c r="CE857" s="46"/>
      <c r="CF857" s="46"/>
      <c r="CG857" s="46"/>
      <c r="CH857" s="46"/>
      <c r="CI857" s="46"/>
      <c r="CJ857" s="46"/>
      <c r="CK857" s="46"/>
      <c r="CL857" s="46"/>
      <c r="CM857" s="46"/>
      <c r="CN857" s="46"/>
    </row>
    <row r="858">
      <c r="A858" s="46"/>
      <c r="B858" s="46"/>
      <c r="C858" s="46"/>
      <c r="D858" s="46"/>
      <c r="E858" s="46"/>
      <c r="F858" s="46"/>
      <c r="G858" s="46"/>
      <c r="H858" s="46"/>
      <c r="I858" s="46"/>
      <c r="J858" s="46"/>
      <c r="K858" s="46"/>
      <c r="L858" s="51"/>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51"/>
      <c r="BB858" s="46"/>
      <c r="BC858" s="46"/>
      <c r="BD858" s="46"/>
      <c r="BE858" s="46"/>
      <c r="BF858" s="46"/>
      <c r="BG858" s="46"/>
      <c r="BH858" s="46"/>
      <c r="BI858" s="46"/>
      <c r="BJ858" s="46"/>
      <c r="BK858" s="46"/>
      <c r="BL858" s="46"/>
      <c r="BM858" s="46"/>
      <c r="BN858" s="46"/>
      <c r="BO858" s="46"/>
      <c r="BP858" s="46"/>
      <c r="BQ858" s="46"/>
      <c r="BR858" s="46"/>
      <c r="BS858" s="46"/>
      <c r="BT858" s="46"/>
      <c r="BU858" s="46"/>
      <c r="BV858" s="46"/>
      <c r="BW858" s="46"/>
      <c r="BX858" s="46"/>
      <c r="BY858" s="46"/>
      <c r="BZ858" s="46"/>
      <c r="CA858" s="46"/>
      <c r="CB858" s="46"/>
      <c r="CC858" s="46"/>
      <c r="CD858" s="46"/>
      <c r="CE858" s="46"/>
      <c r="CF858" s="46"/>
      <c r="CG858" s="46"/>
      <c r="CH858" s="46"/>
      <c r="CI858" s="46"/>
      <c r="CJ858" s="46"/>
      <c r="CK858" s="46"/>
      <c r="CL858" s="46"/>
      <c r="CM858" s="46"/>
      <c r="CN858" s="46"/>
    </row>
    <row r="859">
      <c r="A859" s="46"/>
      <c r="B859" s="46"/>
      <c r="C859" s="46"/>
      <c r="D859" s="46"/>
      <c r="E859" s="46"/>
      <c r="F859" s="46"/>
      <c r="G859" s="46"/>
      <c r="H859" s="46"/>
      <c r="I859" s="46"/>
      <c r="J859" s="46"/>
      <c r="K859" s="46"/>
      <c r="L859" s="51"/>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51"/>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46"/>
      <c r="BZ859" s="46"/>
      <c r="CA859" s="46"/>
      <c r="CB859" s="46"/>
      <c r="CC859" s="46"/>
      <c r="CD859" s="46"/>
      <c r="CE859" s="46"/>
      <c r="CF859" s="46"/>
      <c r="CG859" s="46"/>
      <c r="CH859" s="46"/>
      <c r="CI859" s="46"/>
      <c r="CJ859" s="46"/>
      <c r="CK859" s="46"/>
      <c r="CL859" s="46"/>
      <c r="CM859" s="46"/>
      <c r="CN859" s="46"/>
    </row>
    <row r="860">
      <c r="A860" s="46"/>
      <c r="B860" s="46"/>
      <c r="C860" s="46"/>
      <c r="D860" s="46"/>
      <c r="E860" s="46"/>
      <c r="F860" s="46"/>
      <c r="G860" s="46"/>
      <c r="H860" s="46"/>
      <c r="I860" s="46"/>
      <c r="J860" s="46"/>
      <c r="K860" s="46"/>
      <c r="L860" s="51"/>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51"/>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46"/>
      <c r="BZ860" s="46"/>
      <c r="CA860" s="46"/>
      <c r="CB860" s="46"/>
      <c r="CC860" s="46"/>
      <c r="CD860" s="46"/>
      <c r="CE860" s="46"/>
      <c r="CF860" s="46"/>
      <c r="CG860" s="46"/>
      <c r="CH860" s="46"/>
      <c r="CI860" s="46"/>
      <c r="CJ860" s="46"/>
      <c r="CK860" s="46"/>
      <c r="CL860" s="46"/>
      <c r="CM860" s="46"/>
      <c r="CN860" s="46"/>
    </row>
    <row r="861">
      <c r="A861" s="46"/>
      <c r="B861" s="46"/>
      <c r="C861" s="46"/>
      <c r="D861" s="46"/>
      <c r="E861" s="46"/>
      <c r="F861" s="46"/>
      <c r="G861" s="46"/>
      <c r="H861" s="46"/>
      <c r="I861" s="46"/>
      <c r="J861" s="46"/>
      <c r="K861" s="46"/>
      <c r="L861" s="51"/>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51"/>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46"/>
      <c r="BZ861" s="46"/>
      <c r="CA861" s="46"/>
      <c r="CB861" s="46"/>
      <c r="CC861" s="46"/>
      <c r="CD861" s="46"/>
      <c r="CE861" s="46"/>
      <c r="CF861" s="46"/>
      <c r="CG861" s="46"/>
      <c r="CH861" s="46"/>
      <c r="CI861" s="46"/>
      <c r="CJ861" s="46"/>
      <c r="CK861" s="46"/>
      <c r="CL861" s="46"/>
      <c r="CM861" s="46"/>
      <c r="CN861" s="46"/>
    </row>
    <row r="862">
      <c r="A862" s="46"/>
      <c r="B862" s="46"/>
      <c r="C862" s="46"/>
      <c r="D862" s="46"/>
      <c r="E862" s="46"/>
      <c r="F862" s="46"/>
      <c r="G862" s="46"/>
      <c r="H862" s="46"/>
      <c r="I862" s="46"/>
      <c r="J862" s="46"/>
      <c r="K862" s="46"/>
      <c r="L862" s="51"/>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51"/>
      <c r="BB862" s="46"/>
      <c r="BC862" s="46"/>
      <c r="BD862" s="46"/>
      <c r="BE862" s="46"/>
      <c r="BF862" s="46"/>
      <c r="BG862" s="46"/>
      <c r="BH862" s="46"/>
      <c r="BI862" s="46"/>
      <c r="BJ862" s="46"/>
      <c r="BK862" s="46"/>
      <c r="BL862" s="46"/>
      <c r="BM862" s="46"/>
      <c r="BN862" s="46"/>
      <c r="BO862" s="46"/>
      <c r="BP862" s="46"/>
      <c r="BQ862" s="46"/>
      <c r="BR862" s="46"/>
      <c r="BS862" s="46"/>
      <c r="BT862" s="46"/>
      <c r="BU862" s="46"/>
      <c r="BV862" s="46"/>
      <c r="BW862" s="46"/>
      <c r="BX862" s="46"/>
      <c r="BY862" s="46"/>
      <c r="BZ862" s="46"/>
      <c r="CA862" s="46"/>
      <c r="CB862" s="46"/>
      <c r="CC862" s="46"/>
      <c r="CD862" s="46"/>
      <c r="CE862" s="46"/>
      <c r="CF862" s="46"/>
      <c r="CG862" s="46"/>
      <c r="CH862" s="46"/>
      <c r="CI862" s="46"/>
      <c r="CJ862" s="46"/>
      <c r="CK862" s="46"/>
      <c r="CL862" s="46"/>
      <c r="CM862" s="46"/>
      <c r="CN862" s="46"/>
    </row>
    <row r="863">
      <c r="A863" s="46"/>
      <c r="B863" s="46"/>
      <c r="C863" s="46"/>
      <c r="D863" s="46"/>
      <c r="E863" s="46"/>
      <c r="F863" s="46"/>
      <c r="G863" s="46"/>
      <c r="H863" s="46"/>
      <c r="I863" s="46"/>
      <c r="J863" s="46"/>
      <c r="K863" s="46"/>
      <c r="L863" s="51"/>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51"/>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c r="CD863" s="46"/>
      <c r="CE863" s="46"/>
      <c r="CF863" s="46"/>
      <c r="CG863" s="46"/>
      <c r="CH863" s="46"/>
      <c r="CI863" s="46"/>
      <c r="CJ863" s="46"/>
      <c r="CK863" s="46"/>
      <c r="CL863" s="46"/>
      <c r="CM863" s="46"/>
      <c r="CN863" s="46"/>
    </row>
    <row r="864">
      <c r="A864" s="46"/>
      <c r="B864" s="46"/>
      <c r="C864" s="46"/>
      <c r="D864" s="46"/>
      <c r="E864" s="46"/>
      <c r="F864" s="46"/>
      <c r="G864" s="46"/>
      <c r="H864" s="46"/>
      <c r="I864" s="46"/>
      <c r="J864" s="46"/>
      <c r="K864" s="46"/>
      <c r="L864" s="51"/>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51"/>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c r="CD864" s="46"/>
      <c r="CE864" s="46"/>
      <c r="CF864" s="46"/>
      <c r="CG864" s="46"/>
      <c r="CH864" s="46"/>
      <c r="CI864" s="46"/>
      <c r="CJ864" s="46"/>
      <c r="CK864" s="46"/>
      <c r="CL864" s="46"/>
      <c r="CM864" s="46"/>
      <c r="CN864" s="46"/>
    </row>
    <row r="865">
      <c r="A865" s="46"/>
      <c r="B865" s="46"/>
      <c r="C865" s="46"/>
      <c r="D865" s="46"/>
      <c r="E865" s="46"/>
      <c r="F865" s="46"/>
      <c r="G865" s="46"/>
      <c r="H865" s="46"/>
      <c r="I865" s="46"/>
      <c r="J865" s="46"/>
      <c r="K865" s="46"/>
      <c r="L865" s="51"/>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51"/>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row>
    <row r="866">
      <c r="A866" s="46"/>
      <c r="B866" s="46"/>
      <c r="C866" s="46"/>
      <c r="D866" s="46"/>
      <c r="E866" s="46"/>
      <c r="F866" s="46"/>
      <c r="G866" s="46"/>
      <c r="H866" s="46"/>
      <c r="I866" s="46"/>
      <c r="J866" s="46"/>
      <c r="K866" s="46"/>
      <c r="L866" s="51"/>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51"/>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row>
    <row r="867">
      <c r="A867" s="46"/>
      <c r="B867" s="46"/>
      <c r="C867" s="46"/>
      <c r="D867" s="46"/>
      <c r="E867" s="46"/>
      <c r="F867" s="46"/>
      <c r="G867" s="46"/>
      <c r="H867" s="46"/>
      <c r="I867" s="46"/>
      <c r="J867" s="46"/>
      <c r="K867" s="46"/>
      <c r="L867" s="51"/>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51"/>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row>
    <row r="868">
      <c r="A868" s="46"/>
      <c r="B868" s="46"/>
      <c r="C868" s="46"/>
      <c r="D868" s="46"/>
      <c r="E868" s="46"/>
      <c r="F868" s="46"/>
      <c r="G868" s="46"/>
      <c r="H868" s="46"/>
      <c r="I868" s="46"/>
      <c r="J868" s="46"/>
      <c r="K868" s="46"/>
      <c r="L868" s="51"/>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51"/>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46"/>
      <c r="BZ868" s="46"/>
      <c r="CA868" s="46"/>
      <c r="CB868" s="46"/>
      <c r="CC868" s="46"/>
      <c r="CD868" s="46"/>
      <c r="CE868" s="46"/>
      <c r="CF868" s="46"/>
      <c r="CG868" s="46"/>
      <c r="CH868" s="46"/>
      <c r="CI868" s="46"/>
      <c r="CJ868" s="46"/>
      <c r="CK868" s="46"/>
      <c r="CL868" s="46"/>
      <c r="CM868" s="46"/>
      <c r="CN868" s="46"/>
    </row>
    <row r="869">
      <c r="A869" s="46"/>
      <c r="B869" s="46"/>
      <c r="C869" s="46"/>
      <c r="D869" s="46"/>
      <c r="E869" s="46"/>
      <c r="F869" s="46"/>
      <c r="G869" s="46"/>
      <c r="H869" s="46"/>
      <c r="I869" s="46"/>
      <c r="J869" s="46"/>
      <c r="K869" s="46"/>
      <c r="L869" s="51"/>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51"/>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row>
    <row r="870">
      <c r="A870" s="46"/>
      <c r="B870" s="46"/>
      <c r="C870" s="46"/>
      <c r="D870" s="46"/>
      <c r="E870" s="46"/>
      <c r="F870" s="46"/>
      <c r="G870" s="46"/>
      <c r="H870" s="46"/>
      <c r="I870" s="46"/>
      <c r="J870" s="46"/>
      <c r="K870" s="46"/>
      <c r="L870" s="51"/>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51"/>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row>
    <row r="871">
      <c r="A871" s="46"/>
      <c r="B871" s="46"/>
      <c r="C871" s="46"/>
      <c r="D871" s="46"/>
      <c r="E871" s="46"/>
      <c r="F871" s="46"/>
      <c r="G871" s="46"/>
      <c r="H871" s="46"/>
      <c r="I871" s="46"/>
      <c r="J871" s="46"/>
      <c r="K871" s="46"/>
      <c r="L871" s="51"/>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51"/>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row>
    <row r="872">
      <c r="A872" s="46"/>
      <c r="B872" s="46"/>
      <c r="C872" s="46"/>
      <c r="D872" s="46"/>
      <c r="E872" s="46"/>
      <c r="F872" s="46"/>
      <c r="G872" s="46"/>
      <c r="H872" s="46"/>
      <c r="I872" s="46"/>
      <c r="J872" s="46"/>
      <c r="K872" s="46"/>
      <c r="L872" s="51"/>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51"/>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46"/>
      <c r="BZ872" s="46"/>
      <c r="CA872" s="46"/>
      <c r="CB872" s="46"/>
      <c r="CC872" s="46"/>
      <c r="CD872" s="46"/>
      <c r="CE872" s="46"/>
      <c r="CF872" s="46"/>
      <c r="CG872" s="46"/>
      <c r="CH872" s="46"/>
      <c r="CI872" s="46"/>
      <c r="CJ872" s="46"/>
      <c r="CK872" s="46"/>
      <c r="CL872" s="46"/>
      <c r="CM872" s="46"/>
      <c r="CN872" s="46"/>
    </row>
    <row r="873">
      <c r="A873" s="46"/>
      <c r="B873" s="46"/>
      <c r="C873" s="46"/>
      <c r="D873" s="46"/>
      <c r="E873" s="46"/>
      <c r="F873" s="46"/>
      <c r="G873" s="46"/>
      <c r="H873" s="46"/>
      <c r="I873" s="46"/>
      <c r="J873" s="46"/>
      <c r="K873" s="46"/>
      <c r="L873" s="51"/>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51"/>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row>
    <row r="874">
      <c r="A874" s="46"/>
      <c r="B874" s="46"/>
      <c r="C874" s="46"/>
      <c r="D874" s="46"/>
      <c r="E874" s="46"/>
      <c r="F874" s="46"/>
      <c r="G874" s="46"/>
      <c r="H874" s="46"/>
      <c r="I874" s="46"/>
      <c r="J874" s="46"/>
      <c r="K874" s="46"/>
      <c r="L874" s="51"/>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51"/>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row>
    <row r="875">
      <c r="A875" s="46"/>
      <c r="B875" s="46"/>
      <c r="C875" s="46"/>
      <c r="D875" s="46"/>
      <c r="E875" s="46"/>
      <c r="F875" s="46"/>
      <c r="G875" s="46"/>
      <c r="H875" s="46"/>
      <c r="I875" s="46"/>
      <c r="J875" s="46"/>
      <c r="K875" s="46"/>
      <c r="L875" s="51"/>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51"/>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row>
    <row r="876">
      <c r="A876" s="46"/>
      <c r="B876" s="46"/>
      <c r="C876" s="46"/>
      <c r="D876" s="46"/>
      <c r="E876" s="46"/>
      <c r="F876" s="46"/>
      <c r="G876" s="46"/>
      <c r="H876" s="46"/>
      <c r="I876" s="46"/>
      <c r="J876" s="46"/>
      <c r="K876" s="46"/>
      <c r="L876" s="51"/>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51"/>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row>
    <row r="877">
      <c r="A877" s="46"/>
      <c r="B877" s="46"/>
      <c r="C877" s="46"/>
      <c r="D877" s="46"/>
      <c r="E877" s="46"/>
      <c r="F877" s="46"/>
      <c r="G877" s="46"/>
      <c r="H877" s="46"/>
      <c r="I877" s="46"/>
      <c r="J877" s="46"/>
      <c r="K877" s="46"/>
      <c r="L877" s="51"/>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51"/>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row>
    <row r="878">
      <c r="A878" s="46"/>
      <c r="B878" s="46"/>
      <c r="C878" s="46"/>
      <c r="D878" s="46"/>
      <c r="E878" s="46"/>
      <c r="F878" s="46"/>
      <c r="G878" s="46"/>
      <c r="H878" s="46"/>
      <c r="I878" s="46"/>
      <c r="J878" s="46"/>
      <c r="K878" s="46"/>
      <c r="L878" s="51"/>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51"/>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row>
    <row r="879">
      <c r="A879" s="46"/>
      <c r="B879" s="46"/>
      <c r="C879" s="46"/>
      <c r="D879" s="46"/>
      <c r="E879" s="46"/>
      <c r="F879" s="46"/>
      <c r="G879" s="46"/>
      <c r="H879" s="46"/>
      <c r="I879" s="46"/>
      <c r="J879" s="46"/>
      <c r="K879" s="46"/>
      <c r="L879" s="51"/>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51"/>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row>
    <row r="880">
      <c r="A880" s="46"/>
      <c r="B880" s="46"/>
      <c r="C880" s="46"/>
      <c r="D880" s="46"/>
      <c r="E880" s="46"/>
      <c r="F880" s="46"/>
      <c r="G880" s="46"/>
      <c r="H880" s="46"/>
      <c r="I880" s="46"/>
      <c r="J880" s="46"/>
      <c r="K880" s="46"/>
      <c r="L880" s="51"/>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51"/>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row>
    <row r="881">
      <c r="A881" s="46"/>
      <c r="B881" s="46"/>
      <c r="C881" s="46"/>
      <c r="D881" s="46"/>
      <c r="E881" s="46"/>
      <c r="F881" s="46"/>
      <c r="G881" s="46"/>
      <c r="H881" s="46"/>
      <c r="I881" s="46"/>
      <c r="J881" s="46"/>
      <c r="K881" s="46"/>
      <c r="L881" s="51"/>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51"/>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row>
    <row r="882">
      <c r="A882" s="46"/>
      <c r="B882" s="46"/>
      <c r="C882" s="46"/>
      <c r="D882" s="46"/>
      <c r="E882" s="46"/>
      <c r="F882" s="46"/>
      <c r="G882" s="46"/>
      <c r="H882" s="46"/>
      <c r="I882" s="46"/>
      <c r="J882" s="46"/>
      <c r="K882" s="46"/>
      <c r="L882" s="51"/>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51"/>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row>
    <row r="883">
      <c r="A883" s="46"/>
      <c r="B883" s="46"/>
      <c r="C883" s="46"/>
      <c r="D883" s="46"/>
      <c r="E883" s="46"/>
      <c r="F883" s="46"/>
      <c r="G883" s="46"/>
      <c r="H883" s="46"/>
      <c r="I883" s="46"/>
      <c r="J883" s="46"/>
      <c r="K883" s="46"/>
      <c r="L883" s="51"/>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51"/>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row>
    <row r="884">
      <c r="A884" s="46"/>
      <c r="B884" s="46"/>
      <c r="C884" s="46"/>
      <c r="D884" s="46"/>
      <c r="E884" s="46"/>
      <c r="F884" s="46"/>
      <c r="G884" s="46"/>
      <c r="H884" s="46"/>
      <c r="I884" s="46"/>
      <c r="J884" s="46"/>
      <c r="K884" s="46"/>
      <c r="L884" s="51"/>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51"/>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row>
    <row r="885">
      <c r="A885" s="46"/>
      <c r="B885" s="46"/>
      <c r="C885" s="46"/>
      <c r="D885" s="46"/>
      <c r="E885" s="46"/>
      <c r="F885" s="46"/>
      <c r="G885" s="46"/>
      <c r="H885" s="46"/>
      <c r="I885" s="46"/>
      <c r="J885" s="46"/>
      <c r="K885" s="46"/>
      <c r="L885" s="51"/>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51"/>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row>
    <row r="886">
      <c r="A886" s="46"/>
      <c r="B886" s="46"/>
      <c r="C886" s="46"/>
      <c r="D886" s="46"/>
      <c r="E886" s="46"/>
      <c r="F886" s="46"/>
      <c r="G886" s="46"/>
      <c r="H886" s="46"/>
      <c r="I886" s="46"/>
      <c r="J886" s="46"/>
      <c r="K886" s="46"/>
      <c r="L886" s="51"/>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51"/>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row>
    <row r="887">
      <c r="A887" s="46"/>
      <c r="B887" s="46"/>
      <c r="C887" s="46"/>
      <c r="D887" s="46"/>
      <c r="E887" s="46"/>
      <c r="F887" s="46"/>
      <c r="G887" s="46"/>
      <c r="H887" s="46"/>
      <c r="I887" s="46"/>
      <c r="J887" s="46"/>
      <c r="K887" s="46"/>
      <c r="L887" s="51"/>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51"/>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row>
    <row r="888">
      <c r="A888" s="46"/>
      <c r="B888" s="46"/>
      <c r="C888" s="46"/>
      <c r="D888" s="46"/>
      <c r="E888" s="46"/>
      <c r="F888" s="46"/>
      <c r="G888" s="46"/>
      <c r="H888" s="46"/>
      <c r="I888" s="46"/>
      <c r="J888" s="46"/>
      <c r="K888" s="46"/>
      <c r="L888" s="51"/>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51"/>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row>
    <row r="889">
      <c r="A889" s="46"/>
      <c r="B889" s="46"/>
      <c r="C889" s="46"/>
      <c r="D889" s="46"/>
      <c r="E889" s="46"/>
      <c r="F889" s="46"/>
      <c r="G889" s="46"/>
      <c r="H889" s="46"/>
      <c r="I889" s="46"/>
      <c r="J889" s="46"/>
      <c r="K889" s="46"/>
      <c r="L889" s="51"/>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51"/>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row>
    <row r="890">
      <c r="A890" s="46"/>
      <c r="B890" s="46"/>
      <c r="C890" s="46"/>
      <c r="D890" s="46"/>
      <c r="E890" s="46"/>
      <c r="F890" s="46"/>
      <c r="G890" s="46"/>
      <c r="H890" s="46"/>
      <c r="I890" s="46"/>
      <c r="J890" s="46"/>
      <c r="K890" s="46"/>
      <c r="L890" s="51"/>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51"/>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row>
    <row r="891">
      <c r="A891" s="46"/>
      <c r="B891" s="46"/>
      <c r="C891" s="46"/>
      <c r="D891" s="46"/>
      <c r="E891" s="46"/>
      <c r="F891" s="46"/>
      <c r="G891" s="46"/>
      <c r="H891" s="46"/>
      <c r="I891" s="46"/>
      <c r="J891" s="46"/>
      <c r="K891" s="46"/>
      <c r="L891" s="51"/>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51"/>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row>
    <row r="892">
      <c r="A892" s="46"/>
      <c r="B892" s="46"/>
      <c r="C892" s="46"/>
      <c r="D892" s="46"/>
      <c r="E892" s="46"/>
      <c r="F892" s="46"/>
      <c r="G892" s="46"/>
      <c r="H892" s="46"/>
      <c r="I892" s="46"/>
      <c r="J892" s="46"/>
      <c r="K892" s="46"/>
      <c r="L892" s="51"/>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51"/>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row>
    <row r="893">
      <c r="A893" s="46"/>
      <c r="B893" s="46"/>
      <c r="C893" s="46"/>
      <c r="D893" s="46"/>
      <c r="E893" s="46"/>
      <c r="F893" s="46"/>
      <c r="G893" s="46"/>
      <c r="H893" s="46"/>
      <c r="I893" s="46"/>
      <c r="J893" s="46"/>
      <c r="K893" s="46"/>
      <c r="L893" s="51"/>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51"/>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row>
    <row r="894">
      <c r="A894" s="46"/>
      <c r="B894" s="46"/>
      <c r="C894" s="46"/>
      <c r="D894" s="46"/>
      <c r="E894" s="46"/>
      <c r="F894" s="46"/>
      <c r="G894" s="46"/>
      <c r="H894" s="46"/>
      <c r="I894" s="46"/>
      <c r="J894" s="46"/>
      <c r="K894" s="46"/>
      <c r="L894" s="51"/>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51"/>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row>
    <row r="895">
      <c r="A895" s="46"/>
      <c r="B895" s="46"/>
      <c r="C895" s="46"/>
      <c r="D895" s="46"/>
      <c r="E895" s="46"/>
      <c r="F895" s="46"/>
      <c r="G895" s="46"/>
      <c r="H895" s="46"/>
      <c r="I895" s="46"/>
      <c r="J895" s="46"/>
      <c r="K895" s="46"/>
      <c r="L895" s="51"/>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51"/>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6"/>
      <c r="CA895" s="46"/>
      <c r="CB895" s="46"/>
      <c r="CC895" s="46"/>
      <c r="CD895" s="46"/>
      <c r="CE895" s="46"/>
      <c r="CF895" s="46"/>
      <c r="CG895" s="46"/>
      <c r="CH895" s="46"/>
      <c r="CI895" s="46"/>
      <c r="CJ895" s="46"/>
      <c r="CK895" s="46"/>
      <c r="CL895" s="46"/>
      <c r="CM895" s="46"/>
      <c r="CN895" s="46"/>
    </row>
    <row r="896">
      <c r="A896" s="46"/>
      <c r="B896" s="46"/>
      <c r="C896" s="46"/>
      <c r="D896" s="46"/>
      <c r="E896" s="46"/>
      <c r="F896" s="46"/>
      <c r="G896" s="46"/>
      <c r="H896" s="46"/>
      <c r="I896" s="46"/>
      <c r="J896" s="46"/>
      <c r="K896" s="46"/>
      <c r="L896" s="51"/>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51"/>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row>
    <row r="897">
      <c r="A897" s="46"/>
      <c r="B897" s="46"/>
      <c r="C897" s="46"/>
      <c r="D897" s="46"/>
      <c r="E897" s="46"/>
      <c r="F897" s="46"/>
      <c r="G897" s="46"/>
      <c r="H897" s="46"/>
      <c r="I897" s="46"/>
      <c r="J897" s="46"/>
      <c r="K897" s="46"/>
      <c r="L897" s="51"/>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51"/>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row>
    <row r="898">
      <c r="A898" s="46"/>
      <c r="B898" s="46"/>
      <c r="C898" s="46"/>
      <c r="D898" s="46"/>
      <c r="E898" s="46"/>
      <c r="F898" s="46"/>
      <c r="G898" s="46"/>
      <c r="H898" s="46"/>
      <c r="I898" s="46"/>
      <c r="J898" s="46"/>
      <c r="K898" s="46"/>
      <c r="L898" s="51"/>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51"/>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row>
    <row r="899">
      <c r="A899" s="46"/>
      <c r="B899" s="46"/>
      <c r="C899" s="46"/>
      <c r="D899" s="46"/>
      <c r="E899" s="46"/>
      <c r="F899" s="46"/>
      <c r="G899" s="46"/>
      <c r="H899" s="46"/>
      <c r="I899" s="46"/>
      <c r="J899" s="46"/>
      <c r="K899" s="46"/>
      <c r="L899" s="51"/>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51"/>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row>
    <row r="900">
      <c r="A900" s="46"/>
      <c r="B900" s="46"/>
      <c r="C900" s="46"/>
      <c r="D900" s="46"/>
      <c r="E900" s="46"/>
      <c r="F900" s="46"/>
      <c r="G900" s="46"/>
      <c r="H900" s="46"/>
      <c r="I900" s="46"/>
      <c r="J900" s="46"/>
      <c r="K900" s="46"/>
      <c r="L900" s="51"/>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51"/>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row>
    <row r="901">
      <c r="A901" s="46"/>
      <c r="B901" s="46"/>
      <c r="C901" s="46"/>
      <c r="D901" s="46"/>
      <c r="E901" s="46"/>
      <c r="F901" s="46"/>
      <c r="G901" s="46"/>
      <c r="H901" s="46"/>
      <c r="I901" s="46"/>
      <c r="J901" s="46"/>
      <c r="K901" s="46"/>
      <c r="L901" s="51"/>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51"/>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6"/>
      <c r="CA901" s="46"/>
      <c r="CB901" s="46"/>
      <c r="CC901" s="46"/>
      <c r="CD901" s="46"/>
      <c r="CE901" s="46"/>
      <c r="CF901" s="46"/>
      <c r="CG901" s="46"/>
      <c r="CH901" s="46"/>
      <c r="CI901" s="46"/>
      <c r="CJ901" s="46"/>
      <c r="CK901" s="46"/>
      <c r="CL901" s="46"/>
      <c r="CM901" s="46"/>
      <c r="CN901" s="46"/>
    </row>
    <row r="902">
      <c r="A902" s="46"/>
      <c r="B902" s="46"/>
      <c r="C902" s="46"/>
      <c r="D902" s="46"/>
      <c r="E902" s="46"/>
      <c r="F902" s="46"/>
      <c r="G902" s="46"/>
      <c r="H902" s="46"/>
      <c r="I902" s="46"/>
      <c r="J902" s="46"/>
      <c r="K902" s="46"/>
      <c r="L902" s="51"/>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51"/>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row>
    <row r="903">
      <c r="A903" s="46"/>
      <c r="B903" s="46"/>
      <c r="C903" s="46"/>
      <c r="D903" s="46"/>
      <c r="E903" s="46"/>
      <c r="F903" s="46"/>
      <c r="G903" s="46"/>
      <c r="H903" s="46"/>
      <c r="I903" s="46"/>
      <c r="J903" s="46"/>
      <c r="K903" s="46"/>
      <c r="L903" s="51"/>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51"/>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row>
    <row r="904">
      <c r="A904" s="46"/>
      <c r="B904" s="46"/>
      <c r="C904" s="46"/>
      <c r="D904" s="46"/>
      <c r="E904" s="46"/>
      <c r="F904" s="46"/>
      <c r="G904" s="46"/>
      <c r="H904" s="46"/>
      <c r="I904" s="46"/>
      <c r="J904" s="46"/>
      <c r="K904" s="46"/>
      <c r="L904" s="51"/>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51"/>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row>
    <row r="905">
      <c r="A905" s="46"/>
      <c r="B905" s="46"/>
      <c r="C905" s="46"/>
      <c r="D905" s="46"/>
      <c r="E905" s="46"/>
      <c r="F905" s="46"/>
      <c r="G905" s="46"/>
      <c r="H905" s="46"/>
      <c r="I905" s="46"/>
      <c r="J905" s="46"/>
      <c r="K905" s="46"/>
      <c r="L905" s="51"/>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51"/>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row>
    <row r="906">
      <c r="A906" s="46"/>
      <c r="B906" s="46"/>
      <c r="C906" s="46"/>
      <c r="D906" s="46"/>
      <c r="E906" s="46"/>
      <c r="F906" s="46"/>
      <c r="G906" s="46"/>
      <c r="H906" s="46"/>
      <c r="I906" s="46"/>
      <c r="J906" s="46"/>
      <c r="K906" s="46"/>
      <c r="L906" s="51"/>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51"/>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row>
    <row r="907">
      <c r="A907" s="46"/>
      <c r="B907" s="46"/>
      <c r="C907" s="46"/>
      <c r="D907" s="46"/>
      <c r="E907" s="46"/>
      <c r="F907" s="46"/>
      <c r="G907" s="46"/>
      <c r="H907" s="46"/>
      <c r="I907" s="46"/>
      <c r="J907" s="46"/>
      <c r="K907" s="46"/>
      <c r="L907" s="51"/>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51"/>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6"/>
      <c r="CA907" s="46"/>
      <c r="CB907" s="46"/>
      <c r="CC907" s="46"/>
      <c r="CD907" s="46"/>
      <c r="CE907" s="46"/>
      <c r="CF907" s="46"/>
      <c r="CG907" s="46"/>
      <c r="CH907" s="46"/>
      <c r="CI907" s="46"/>
      <c r="CJ907" s="46"/>
      <c r="CK907" s="46"/>
      <c r="CL907" s="46"/>
      <c r="CM907" s="46"/>
      <c r="CN907" s="46"/>
    </row>
    <row r="908">
      <c r="A908" s="46"/>
      <c r="B908" s="46"/>
      <c r="C908" s="46"/>
      <c r="D908" s="46"/>
      <c r="E908" s="46"/>
      <c r="F908" s="46"/>
      <c r="G908" s="46"/>
      <c r="H908" s="46"/>
      <c r="I908" s="46"/>
      <c r="J908" s="46"/>
      <c r="K908" s="46"/>
      <c r="L908" s="51"/>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51"/>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6"/>
      <c r="CA908" s="46"/>
      <c r="CB908" s="46"/>
      <c r="CC908" s="46"/>
      <c r="CD908" s="46"/>
      <c r="CE908" s="46"/>
      <c r="CF908" s="46"/>
      <c r="CG908" s="46"/>
      <c r="CH908" s="46"/>
      <c r="CI908" s="46"/>
      <c r="CJ908" s="46"/>
      <c r="CK908" s="46"/>
      <c r="CL908" s="46"/>
      <c r="CM908" s="46"/>
      <c r="CN908" s="46"/>
    </row>
    <row r="909">
      <c r="A909" s="46"/>
      <c r="B909" s="46"/>
      <c r="C909" s="46"/>
      <c r="D909" s="46"/>
      <c r="E909" s="46"/>
      <c r="F909" s="46"/>
      <c r="G909" s="46"/>
      <c r="H909" s="46"/>
      <c r="I909" s="46"/>
      <c r="J909" s="46"/>
      <c r="K909" s="46"/>
      <c r="L909" s="51"/>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51"/>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46"/>
      <c r="BZ909" s="46"/>
      <c r="CA909" s="46"/>
      <c r="CB909" s="46"/>
      <c r="CC909" s="46"/>
      <c r="CD909" s="46"/>
      <c r="CE909" s="46"/>
      <c r="CF909" s="46"/>
      <c r="CG909" s="46"/>
      <c r="CH909" s="46"/>
      <c r="CI909" s="46"/>
      <c r="CJ909" s="46"/>
      <c r="CK909" s="46"/>
      <c r="CL909" s="46"/>
      <c r="CM909" s="46"/>
      <c r="CN909" s="46"/>
    </row>
    <row r="910">
      <c r="A910" s="46"/>
      <c r="B910" s="46"/>
      <c r="C910" s="46"/>
      <c r="D910" s="46"/>
      <c r="E910" s="46"/>
      <c r="F910" s="46"/>
      <c r="G910" s="46"/>
      <c r="H910" s="46"/>
      <c r="I910" s="46"/>
      <c r="J910" s="46"/>
      <c r="K910" s="46"/>
      <c r="L910" s="51"/>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51"/>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6"/>
      <c r="CA910" s="46"/>
      <c r="CB910" s="46"/>
      <c r="CC910" s="46"/>
      <c r="CD910" s="46"/>
      <c r="CE910" s="46"/>
      <c r="CF910" s="46"/>
      <c r="CG910" s="46"/>
      <c r="CH910" s="46"/>
      <c r="CI910" s="46"/>
      <c r="CJ910" s="46"/>
      <c r="CK910" s="46"/>
      <c r="CL910" s="46"/>
      <c r="CM910" s="46"/>
      <c r="CN910" s="46"/>
    </row>
    <row r="911">
      <c r="A911" s="46"/>
      <c r="B911" s="46"/>
      <c r="C911" s="46"/>
      <c r="D911" s="46"/>
      <c r="E911" s="46"/>
      <c r="F911" s="46"/>
      <c r="G911" s="46"/>
      <c r="H911" s="46"/>
      <c r="I911" s="46"/>
      <c r="J911" s="46"/>
      <c r="K911" s="46"/>
      <c r="L911" s="51"/>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51"/>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6"/>
      <c r="CA911" s="46"/>
      <c r="CB911" s="46"/>
      <c r="CC911" s="46"/>
      <c r="CD911" s="46"/>
      <c r="CE911" s="46"/>
      <c r="CF911" s="46"/>
      <c r="CG911" s="46"/>
      <c r="CH911" s="46"/>
      <c r="CI911" s="46"/>
      <c r="CJ911" s="46"/>
      <c r="CK911" s="46"/>
      <c r="CL911" s="46"/>
      <c r="CM911" s="46"/>
      <c r="CN911" s="46"/>
    </row>
    <row r="912">
      <c r="A912" s="46"/>
      <c r="B912" s="46"/>
      <c r="C912" s="46"/>
      <c r="D912" s="46"/>
      <c r="E912" s="46"/>
      <c r="F912" s="46"/>
      <c r="G912" s="46"/>
      <c r="H912" s="46"/>
      <c r="I912" s="46"/>
      <c r="J912" s="46"/>
      <c r="K912" s="46"/>
      <c r="L912" s="51"/>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51"/>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6"/>
      <c r="CA912" s="46"/>
      <c r="CB912" s="46"/>
      <c r="CC912" s="46"/>
      <c r="CD912" s="46"/>
      <c r="CE912" s="46"/>
      <c r="CF912" s="46"/>
      <c r="CG912" s="46"/>
      <c r="CH912" s="46"/>
      <c r="CI912" s="46"/>
      <c r="CJ912" s="46"/>
      <c r="CK912" s="46"/>
      <c r="CL912" s="46"/>
      <c r="CM912" s="46"/>
      <c r="CN912" s="46"/>
    </row>
    <row r="913">
      <c r="A913" s="46"/>
      <c r="B913" s="46"/>
      <c r="C913" s="46"/>
      <c r="D913" s="46"/>
      <c r="E913" s="46"/>
      <c r="F913" s="46"/>
      <c r="G913" s="46"/>
      <c r="H913" s="46"/>
      <c r="I913" s="46"/>
      <c r="J913" s="46"/>
      <c r="K913" s="46"/>
      <c r="L913" s="51"/>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51"/>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6"/>
      <c r="CA913" s="46"/>
      <c r="CB913" s="46"/>
      <c r="CC913" s="46"/>
      <c r="CD913" s="46"/>
      <c r="CE913" s="46"/>
      <c r="CF913" s="46"/>
      <c r="CG913" s="46"/>
      <c r="CH913" s="46"/>
      <c r="CI913" s="46"/>
      <c r="CJ913" s="46"/>
      <c r="CK913" s="46"/>
      <c r="CL913" s="46"/>
      <c r="CM913" s="46"/>
      <c r="CN913" s="46"/>
    </row>
    <row r="914">
      <c r="A914" s="46"/>
      <c r="B914" s="46"/>
      <c r="C914" s="46"/>
      <c r="D914" s="46"/>
      <c r="E914" s="46"/>
      <c r="F914" s="46"/>
      <c r="G914" s="46"/>
      <c r="H914" s="46"/>
      <c r="I914" s="46"/>
      <c r="J914" s="46"/>
      <c r="K914" s="46"/>
      <c r="L914" s="51"/>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51"/>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6"/>
      <c r="CA914" s="46"/>
      <c r="CB914" s="46"/>
      <c r="CC914" s="46"/>
      <c r="CD914" s="46"/>
      <c r="CE914" s="46"/>
      <c r="CF914" s="46"/>
      <c r="CG914" s="46"/>
      <c r="CH914" s="46"/>
      <c r="CI914" s="46"/>
      <c r="CJ914" s="46"/>
      <c r="CK914" s="46"/>
      <c r="CL914" s="46"/>
      <c r="CM914" s="46"/>
      <c r="CN914" s="46"/>
    </row>
    <row r="915">
      <c r="A915" s="46"/>
      <c r="B915" s="46"/>
      <c r="C915" s="46"/>
      <c r="D915" s="46"/>
      <c r="E915" s="46"/>
      <c r="F915" s="46"/>
      <c r="G915" s="46"/>
      <c r="H915" s="46"/>
      <c r="I915" s="46"/>
      <c r="J915" s="46"/>
      <c r="K915" s="46"/>
      <c r="L915" s="51"/>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51"/>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6"/>
      <c r="CA915" s="46"/>
      <c r="CB915" s="46"/>
      <c r="CC915" s="46"/>
      <c r="CD915" s="46"/>
      <c r="CE915" s="46"/>
      <c r="CF915" s="46"/>
      <c r="CG915" s="46"/>
      <c r="CH915" s="46"/>
      <c r="CI915" s="46"/>
      <c r="CJ915" s="46"/>
      <c r="CK915" s="46"/>
      <c r="CL915" s="46"/>
      <c r="CM915" s="46"/>
      <c r="CN915" s="46"/>
    </row>
    <row r="916">
      <c r="A916" s="46"/>
      <c r="B916" s="46"/>
      <c r="C916" s="46"/>
      <c r="D916" s="46"/>
      <c r="E916" s="46"/>
      <c r="F916" s="46"/>
      <c r="G916" s="46"/>
      <c r="H916" s="46"/>
      <c r="I916" s="46"/>
      <c r="J916" s="46"/>
      <c r="K916" s="46"/>
      <c r="L916" s="51"/>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51"/>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6"/>
      <c r="CA916" s="46"/>
      <c r="CB916" s="46"/>
      <c r="CC916" s="46"/>
      <c r="CD916" s="46"/>
      <c r="CE916" s="46"/>
      <c r="CF916" s="46"/>
      <c r="CG916" s="46"/>
      <c r="CH916" s="46"/>
      <c r="CI916" s="46"/>
      <c r="CJ916" s="46"/>
      <c r="CK916" s="46"/>
      <c r="CL916" s="46"/>
      <c r="CM916" s="46"/>
      <c r="CN916" s="46"/>
    </row>
    <row r="917">
      <c r="A917" s="46"/>
      <c r="B917" s="46"/>
      <c r="C917" s="46"/>
      <c r="D917" s="46"/>
      <c r="E917" s="46"/>
      <c r="F917" s="46"/>
      <c r="G917" s="46"/>
      <c r="H917" s="46"/>
      <c r="I917" s="46"/>
      <c r="J917" s="46"/>
      <c r="K917" s="46"/>
      <c r="L917" s="51"/>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51"/>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6"/>
      <c r="CA917" s="46"/>
      <c r="CB917" s="46"/>
      <c r="CC917" s="46"/>
      <c r="CD917" s="46"/>
      <c r="CE917" s="46"/>
      <c r="CF917" s="46"/>
      <c r="CG917" s="46"/>
      <c r="CH917" s="46"/>
      <c r="CI917" s="46"/>
      <c r="CJ917" s="46"/>
      <c r="CK917" s="46"/>
      <c r="CL917" s="46"/>
      <c r="CM917" s="46"/>
      <c r="CN917" s="46"/>
    </row>
    <row r="918">
      <c r="A918" s="46"/>
      <c r="B918" s="46"/>
      <c r="C918" s="46"/>
      <c r="D918" s="46"/>
      <c r="E918" s="46"/>
      <c r="F918" s="46"/>
      <c r="G918" s="46"/>
      <c r="H918" s="46"/>
      <c r="I918" s="46"/>
      <c r="J918" s="46"/>
      <c r="K918" s="46"/>
      <c r="L918" s="51"/>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51"/>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6"/>
      <c r="CA918" s="46"/>
      <c r="CB918" s="46"/>
      <c r="CC918" s="46"/>
      <c r="CD918" s="46"/>
      <c r="CE918" s="46"/>
      <c r="CF918" s="46"/>
      <c r="CG918" s="46"/>
      <c r="CH918" s="46"/>
      <c r="CI918" s="46"/>
      <c r="CJ918" s="46"/>
      <c r="CK918" s="46"/>
      <c r="CL918" s="46"/>
      <c r="CM918" s="46"/>
      <c r="CN918" s="46"/>
    </row>
    <row r="919">
      <c r="A919" s="46"/>
      <c r="B919" s="46"/>
      <c r="C919" s="46"/>
      <c r="D919" s="46"/>
      <c r="E919" s="46"/>
      <c r="F919" s="46"/>
      <c r="G919" s="46"/>
      <c r="H919" s="46"/>
      <c r="I919" s="46"/>
      <c r="J919" s="46"/>
      <c r="K919" s="46"/>
      <c r="L919" s="51"/>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51"/>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6"/>
      <c r="CA919" s="46"/>
      <c r="CB919" s="46"/>
      <c r="CC919" s="46"/>
      <c r="CD919" s="46"/>
      <c r="CE919" s="46"/>
      <c r="CF919" s="46"/>
      <c r="CG919" s="46"/>
      <c r="CH919" s="46"/>
      <c r="CI919" s="46"/>
      <c r="CJ919" s="46"/>
      <c r="CK919" s="46"/>
      <c r="CL919" s="46"/>
      <c r="CM919" s="46"/>
      <c r="CN919" s="46"/>
    </row>
    <row r="920">
      <c r="A920" s="46"/>
      <c r="B920" s="46"/>
      <c r="C920" s="46"/>
      <c r="D920" s="46"/>
      <c r="E920" s="46"/>
      <c r="F920" s="46"/>
      <c r="G920" s="46"/>
      <c r="H920" s="46"/>
      <c r="I920" s="46"/>
      <c r="J920" s="46"/>
      <c r="K920" s="46"/>
      <c r="L920" s="51"/>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51"/>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6"/>
      <c r="CA920" s="46"/>
      <c r="CB920" s="46"/>
      <c r="CC920" s="46"/>
      <c r="CD920" s="46"/>
      <c r="CE920" s="46"/>
      <c r="CF920" s="46"/>
      <c r="CG920" s="46"/>
      <c r="CH920" s="46"/>
      <c r="CI920" s="46"/>
      <c r="CJ920" s="46"/>
      <c r="CK920" s="46"/>
      <c r="CL920" s="46"/>
      <c r="CM920" s="46"/>
      <c r="CN920" s="46"/>
    </row>
    <row r="921">
      <c r="A921" s="46"/>
      <c r="B921" s="46"/>
      <c r="C921" s="46"/>
      <c r="D921" s="46"/>
      <c r="E921" s="46"/>
      <c r="F921" s="46"/>
      <c r="G921" s="46"/>
      <c r="H921" s="46"/>
      <c r="I921" s="46"/>
      <c r="J921" s="46"/>
      <c r="K921" s="46"/>
      <c r="L921" s="51"/>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51"/>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6"/>
      <c r="CA921" s="46"/>
      <c r="CB921" s="46"/>
      <c r="CC921" s="46"/>
      <c r="CD921" s="46"/>
      <c r="CE921" s="46"/>
      <c r="CF921" s="46"/>
      <c r="CG921" s="46"/>
      <c r="CH921" s="46"/>
      <c r="CI921" s="46"/>
      <c r="CJ921" s="46"/>
      <c r="CK921" s="46"/>
      <c r="CL921" s="46"/>
      <c r="CM921" s="46"/>
      <c r="CN921" s="46"/>
    </row>
    <row r="922">
      <c r="A922" s="46"/>
      <c r="B922" s="46"/>
      <c r="C922" s="46"/>
      <c r="D922" s="46"/>
      <c r="E922" s="46"/>
      <c r="F922" s="46"/>
      <c r="G922" s="46"/>
      <c r="H922" s="46"/>
      <c r="I922" s="46"/>
      <c r="J922" s="46"/>
      <c r="K922" s="46"/>
      <c r="L922" s="51"/>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51"/>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6"/>
      <c r="CA922" s="46"/>
      <c r="CB922" s="46"/>
      <c r="CC922" s="46"/>
      <c r="CD922" s="46"/>
      <c r="CE922" s="46"/>
      <c r="CF922" s="46"/>
      <c r="CG922" s="46"/>
      <c r="CH922" s="46"/>
      <c r="CI922" s="46"/>
      <c r="CJ922" s="46"/>
      <c r="CK922" s="46"/>
      <c r="CL922" s="46"/>
      <c r="CM922" s="46"/>
      <c r="CN922" s="46"/>
    </row>
    <row r="923">
      <c r="A923" s="46"/>
      <c r="B923" s="46"/>
      <c r="C923" s="46"/>
      <c r="D923" s="46"/>
      <c r="E923" s="46"/>
      <c r="F923" s="46"/>
      <c r="G923" s="46"/>
      <c r="H923" s="46"/>
      <c r="I923" s="46"/>
      <c r="J923" s="46"/>
      <c r="K923" s="46"/>
      <c r="L923" s="51"/>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51"/>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6"/>
      <c r="CA923" s="46"/>
      <c r="CB923" s="46"/>
      <c r="CC923" s="46"/>
      <c r="CD923" s="46"/>
      <c r="CE923" s="46"/>
      <c r="CF923" s="46"/>
      <c r="CG923" s="46"/>
      <c r="CH923" s="46"/>
      <c r="CI923" s="46"/>
      <c r="CJ923" s="46"/>
      <c r="CK923" s="46"/>
      <c r="CL923" s="46"/>
      <c r="CM923" s="46"/>
      <c r="CN923" s="46"/>
    </row>
    <row r="924">
      <c r="A924" s="46"/>
      <c r="B924" s="46"/>
      <c r="C924" s="46"/>
      <c r="D924" s="46"/>
      <c r="E924" s="46"/>
      <c r="F924" s="46"/>
      <c r="G924" s="46"/>
      <c r="H924" s="46"/>
      <c r="I924" s="46"/>
      <c r="J924" s="46"/>
      <c r="K924" s="46"/>
      <c r="L924" s="51"/>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51"/>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6"/>
      <c r="CA924" s="46"/>
      <c r="CB924" s="46"/>
      <c r="CC924" s="46"/>
      <c r="CD924" s="46"/>
      <c r="CE924" s="46"/>
      <c r="CF924" s="46"/>
      <c r="CG924" s="46"/>
      <c r="CH924" s="46"/>
      <c r="CI924" s="46"/>
      <c r="CJ924" s="46"/>
      <c r="CK924" s="46"/>
      <c r="CL924" s="46"/>
      <c r="CM924" s="46"/>
      <c r="CN924" s="46"/>
    </row>
    <row r="925">
      <c r="A925" s="46"/>
      <c r="B925" s="46"/>
      <c r="C925" s="46"/>
      <c r="D925" s="46"/>
      <c r="E925" s="46"/>
      <c r="F925" s="46"/>
      <c r="G925" s="46"/>
      <c r="H925" s="46"/>
      <c r="I925" s="46"/>
      <c r="J925" s="46"/>
      <c r="K925" s="46"/>
      <c r="L925" s="51"/>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51"/>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6"/>
      <c r="CA925" s="46"/>
      <c r="CB925" s="46"/>
      <c r="CC925" s="46"/>
      <c r="CD925" s="46"/>
      <c r="CE925" s="46"/>
      <c r="CF925" s="46"/>
      <c r="CG925" s="46"/>
      <c r="CH925" s="46"/>
      <c r="CI925" s="46"/>
      <c r="CJ925" s="46"/>
      <c r="CK925" s="46"/>
      <c r="CL925" s="46"/>
      <c r="CM925" s="46"/>
      <c r="CN925" s="46"/>
    </row>
    <row r="926">
      <c r="A926" s="46"/>
      <c r="B926" s="46"/>
      <c r="C926" s="46"/>
      <c r="D926" s="46"/>
      <c r="E926" s="46"/>
      <c r="F926" s="46"/>
      <c r="G926" s="46"/>
      <c r="H926" s="46"/>
      <c r="I926" s="46"/>
      <c r="J926" s="46"/>
      <c r="K926" s="46"/>
      <c r="L926" s="51"/>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51"/>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6"/>
      <c r="CA926" s="46"/>
      <c r="CB926" s="46"/>
      <c r="CC926" s="46"/>
      <c r="CD926" s="46"/>
      <c r="CE926" s="46"/>
      <c r="CF926" s="46"/>
      <c r="CG926" s="46"/>
      <c r="CH926" s="46"/>
      <c r="CI926" s="46"/>
      <c r="CJ926" s="46"/>
      <c r="CK926" s="46"/>
      <c r="CL926" s="46"/>
      <c r="CM926" s="46"/>
      <c r="CN926" s="46"/>
    </row>
    <row r="927">
      <c r="A927" s="46"/>
      <c r="B927" s="46"/>
      <c r="C927" s="46"/>
      <c r="D927" s="46"/>
      <c r="E927" s="46"/>
      <c r="F927" s="46"/>
      <c r="G927" s="46"/>
      <c r="H927" s="46"/>
      <c r="I927" s="46"/>
      <c r="J927" s="46"/>
      <c r="K927" s="46"/>
      <c r="L927" s="51"/>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51"/>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6"/>
      <c r="CA927" s="46"/>
      <c r="CB927" s="46"/>
      <c r="CC927" s="46"/>
      <c r="CD927" s="46"/>
      <c r="CE927" s="46"/>
      <c r="CF927" s="46"/>
      <c r="CG927" s="46"/>
      <c r="CH927" s="46"/>
      <c r="CI927" s="46"/>
      <c r="CJ927" s="46"/>
      <c r="CK927" s="46"/>
      <c r="CL927" s="46"/>
      <c r="CM927" s="46"/>
      <c r="CN927" s="46"/>
    </row>
    <row r="928">
      <c r="A928" s="46"/>
      <c r="B928" s="46"/>
      <c r="C928" s="46"/>
      <c r="D928" s="46"/>
      <c r="E928" s="46"/>
      <c r="F928" s="46"/>
      <c r="G928" s="46"/>
      <c r="H928" s="46"/>
      <c r="I928" s="46"/>
      <c r="J928" s="46"/>
      <c r="K928" s="46"/>
      <c r="L928" s="51"/>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51"/>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46"/>
      <c r="BZ928" s="46"/>
      <c r="CA928" s="46"/>
      <c r="CB928" s="46"/>
      <c r="CC928" s="46"/>
      <c r="CD928" s="46"/>
      <c r="CE928" s="46"/>
      <c r="CF928" s="46"/>
      <c r="CG928" s="46"/>
      <c r="CH928" s="46"/>
      <c r="CI928" s="46"/>
      <c r="CJ928" s="46"/>
      <c r="CK928" s="46"/>
      <c r="CL928" s="46"/>
      <c r="CM928" s="46"/>
      <c r="CN928" s="46"/>
    </row>
    <row r="929">
      <c r="A929" s="46"/>
      <c r="B929" s="46"/>
      <c r="C929" s="46"/>
      <c r="D929" s="46"/>
      <c r="E929" s="46"/>
      <c r="F929" s="46"/>
      <c r="G929" s="46"/>
      <c r="H929" s="46"/>
      <c r="I929" s="46"/>
      <c r="J929" s="46"/>
      <c r="K929" s="46"/>
      <c r="L929" s="51"/>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51"/>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6"/>
      <c r="CA929" s="46"/>
      <c r="CB929" s="46"/>
      <c r="CC929" s="46"/>
      <c r="CD929" s="46"/>
      <c r="CE929" s="46"/>
      <c r="CF929" s="46"/>
      <c r="CG929" s="46"/>
      <c r="CH929" s="46"/>
      <c r="CI929" s="46"/>
      <c r="CJ929" s="46"/>
      <c r="CK929" s="46"/>
      <c r="CL929" s="46"/>
      <c r="CM929" s="46"/>
      <c r="CN929" s="46"/>
    </row>
    <row r="930">
      <c r="A930" s="46"/>
      <c r="B930" s="46"/>
      <c r="C930" s="46"/>
      <c r="D930" s="46"/>
      <c r="E930" s="46"/>
      <c r="F930" s="46"/>
      <c r="G930" s="46"/>
      <c r="H930" s="46"/>
      <c r="I930" s="46"/>
      <c r="J930" s="46"/>
      <c r="K930" s="46"/>
      <c r="L930" s="51"/>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51"/>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6"/>
      <c r="CA930" s="46"/>
      <c r="CB930" s="46"/>
      <c r="CC930" s="46"/>
      <c r="CD930" s="46"/>
      <c r="CE930" s="46"/>
      <c r="CF930" s="46"/>
      <c r="CG930" s="46"/>
      <c r="CH930" s="46"/>
      <c r="CI930" s="46"/>
      <c r="CJ930" s="46"/>
      <c r="CK930" s="46"/>
      <c r="CL930" s="46"/>
      <c r="CM930" s="46"/>
      <c r="CN930" s="46"/>
    </row>
    <row r="931">
      <c r="A931" s="46"/>
      <c r="B931" s="46"/>
      <c r="C931" s="46"/>
      <c r="D931" s="46"/>
      <c r="E931" s="46"/>
      <c r="F931" s="46"/>
      <c r="G931" s="46"/>
      <c r="H931" s="46"/>
      <c r="I931" s="46"/>
      <c r="J931" s="46"/>
      <c r="K931" s="46"/>
      <c r="L931" s="51"/>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51"/>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6"/>
      <c r="CA931" s="46"/>
      <c r="CB931" s="46"/>
      <c r="CC931" s="46"/>
      <c r="CD931" s="46"/>
      <c r="CE931" s="46"/>
      <c r="CF931" s="46"/>
      <c r="CG931" s="46"/>
      <c r="CH931" s="46"/>
      <c r="CI931" s="46"/>
      <c r="CJ931" s="46"/>
      <c r="CK931" s="46"/>
      <c r="CL931" s="46"/>
      <c r="CM931" s="46"/>
      <c r="CN931" s="46"/>
    </row>
    <row r="932">
      <c r="A932" s="46"/>
      <c r="B932" s="46"/>
      <c r="C932" s="46"/>
      <c r="D932" s="46"/>
      <c r="E932" s="46"/>
      <c r="F932" s="46"/>
      <c r="G932" s="46"/>
      <c r="H932" s="46"/>
      <c r="I932" s="46"/>
      <c r="J932" s="46"/>
      <c r="K932" s="46"/>
      <c r="L932" s="51"/>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51"/>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6"/>
      <c r="CA932" s="46"/>
      <c r="CB932" s="46"/>
      <c r="CC932" s="46"/>
      <c r="CD932" s="46"/>
      <c r="CE932" s="46"/>
      <c r="CF932" s="46"/>
      <c r="CG932" s="46"/>
      <c r="CH932" s="46"/>
      <c r="CI932" s="46"/>
      <c r="CJ932" s="46"/>
      <c r="CK932" s="46"/>
      <c r="CL932" s="46"/>
      <c r="CM932" s="46"/>
      <c r="CN932" s="46"/>
    </row>
    <row r="933">
      <c r="A933" s="46"/>
      <c r="B933" s="46"/>
      <c r="C933" s="46"/>
      <c r="D933" s="46"/>
      <c r="E933" s="46"/>
      <c r="F933" s="46"/>
      <c r="G933" s="46"/>
      <c r="H933" s="46"/>
      <c r="I933" s="46"/>
      <c r="J933" s="46"/>
      <c r="K933" s="46"/>
      <c r="L933" s="51"/>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51"/>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6"/>
      <c r="CA933" s="46"/>
      <c r="CB933" s="46"/>
      <c r="CC933" s="46"/>
      <c r="CD933" s="46"/>
      <c r="CE933" s="46"/>
      <c r="CF933" s="46"/>
      <c r="CG933" s="46"/>
      <c r="CH933" s="46"/>
      <c r="CI933" s="46"/>
      <c r="CJ933" s="46"/>
      <c r="CK933" s="46"/>
      <c r="CL933" s="46"/>
      <c r="CM933" s="46"/>
      <c r="CN933" s="46"/>
    </row>
    <row r="934">
      <c r="A934" s="46"/>
      <c r="B934" s="46"/>
      <c r="C934" s="46"/>
      <c r="D934" s="46"/>
      <c r="E934" s="46"/>
      <c r="F934" s="46"/>
      <c r="G934" s="46"/>
      <c r="H934" s="46"/>
      <c r="I934" s="46"/>
      <c r="J934" s="46"/>
      <c r="K934" s="46"/>
      <c r="L934" s="51"/>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51"/>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6"/>
      <c r="CA934" s="46"/>
      <c r="CB934" s="46"/>
      <c r="CC934" s="46"/>
      <c r="CD934" s="46"/>
      <c r="CE934" s="46"/>
      <c r="CF934" s="46"/>
      <c r="CG934" s="46"/>
      <c r="CH934" s="46"/>
      <c r="CI934" s="46"/>
      <c r="CJ934" s="46"/>
      <c r="CK934" s="46"/>
      <c r="CL934" s="46"/>
      <c r="CM934" s="46"/>
      <c r="CN934" s="46"/>
    </row>
    <row r="935">
      <c r="A935" s="46"/>
      <c r="B935" s="46"/>
      <c r="C935" s="46"/>
      <c r="D935" s="46"/>
      <c r="E935" s="46"/>
      <c r="F935" s="46"/>
      <c r="G935" s="46"/>
      <c r="H935" s="46"/>
      <c r="I935" s="46"/>
      <c r="J935" s="46"/>
      <c r="K935" s="46"/>
      <c r="L935" s="51"/>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51"/>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6"/>
      <c r="CA935" s="46"/>
      <c r="CB935" s="46"/>
      <c r="CC935" s="46"/>
      <c r="CD935" s="46"/>
      <c r="CE935" s="46"/>
      <c r="CF935" s="46"/>
      <c r="CG935" s="46"/>
      <c r="CH935" s="46"/>
      <c r="CI935" s="46"/>
      <c r="CJ935" s="46"/>
      <c r="CK935" s="46"/>
      <c r="CL935" s="46"/>
      <c r="CM935" s="46"/>
      <c r="CN935" s="46"/>
    </row>
    <row r="936">
      <c r="A936" s="46"/>
      <c r="B936" s="46"/>
      <c r="C936" s="46"/>
      <c r="D936" s="46"/>
      <c r="E936" s="46"/>
      <c r="F936" s="46"/>
      <c r="G936" s="46"/>
      <c r="H936" s="46"/>
      <c r="I936" s="46"/>
      <c r="J936" s="46"/>
      <c r="K936" s="46"/>
      <c r="L936" s="51"/>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51"/>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6"/>
      <c r="CA936" s="46"/>
      <c r="CB936" s="46"/>
      <c r="CC936" s="46"/>
      <c r="CD936" s="46"/>
      <c r="CE936" s="46"/>
      <c r="CF936" s="46"/>
      <c r="CG936" s="46"/>
      <c r="CH936" s="46"/>
      <c r="CI936" s="46"/>
      <c r="CJ936" s="46"/>
      <c r="CK936" s="46"/>
      <c r="CL936" s="46"/>
      <c r="CM936" s="46"/>
      <c r="CN936" s="46"/>
    </row>
    <row r="937">
      <c r="A937" s="46"/>
      <c r="B937" s="46"/>
      <c r="C937" s="46"/>
      <c r="D937" s="46"/>
      <c r="E937" s="46"/>
      <c r="F937" s="46"/>
      <c r="G937" s="46"/>
      <c r="H937" s="46"/>
      <c r="I937" s="46"/>
      <c r="J937" s="46"/>
      <c r="K937" s="46"/>
      <c r="L937" s="51"/>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51"/>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6"/>
      <c r="CA937" s="46"/>
      <c r="CB937" s="46"/>
      <c r="CC937" s="46"/>
      <c r="CD937" s="46"/>
      <c r="CE937" s="46"/>
      <c r="CF937" s="46"/>
      <c r="CG937" s="46"/>
      <c r="CH937" s="46"/>
      <c r="CI937" s="46"/>
      <c r="CJ937" s="46"/>
      <c r="CK937" s="46"/>
      <c r="CL937" s="46"/>
      <c r="CM937" s="46"/>
      <c r="CN937" s="46"/>
    </row>
    <row r="938">
      <c r="A938" s="46"/>
      <c r="B938" s="46"/>
      <c r="C938" s="46"/>
      <c r="D938" s="46"/>
      <c r="E938" s="46"/>
      <c r="F938" s="46"/>
      <c r="G938" s="46"/>
      <c r="H938" s="46"/>
      <c r="I938" s="46"/>
      <c r="J938" s="46"/>
      <c r="K938" s="46"/>
      <c r="L938" s="51"/>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51"/>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6"/>
      <c r="CA938" s="46"/>
      <c r="CB938" s="46"/>
      <c r="CC938" s="46"/>
      <c r="CD938" s="46"/>
      <c r="CE938" s="46"/>
      <c r="CF938" s="46"/>
      <c r="CG938" s="46"/>
      <c r="CH938" s="46"/>
      <c r="CI938" s="46"/>
      <c r="CJ938" s="46"/>
      <c r="CK938" s="46"/>
      <c r="CL938" s="46"/>
      <c r="CM938" s="46"/>
      <c r="CN938" s="46"/>
    </row>
    <row r="939">
      <c r="A939" s="46"/>
      <c r="B939" s="46"/>
      <c r="C939" s="46"/>
      <c r="D939" s="46"/>
      <c r="E939" s="46"/>
      <c r="F939" s="46"/>
      <c r="G939" s="46"/>
      <c r="H939" s="46"/>
      <c r="I939" s="46"/>
      <c r="J939" s="46"/>
      <c r="K939" s="46"/>
      <c r="L939" s="51"/>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51"/>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6"/>
      <c r="CA939" s="46"/>
      <c r="CB939" s="46"/>
      <c r="CC939" s="46"/>
      <c r="CD939" s="46"/>
      <c r="CE939" s="46"/>
      <c r="CF939" s="46"/>
      <c r="CG939" s="46"/>
      <c r="CH939" s="46"/>
      <c r="CI939" s="46"/>
      <c r="CJ939" s="46"/>
      <c r="CK939" s="46"/>
      <c r="CL939" s="46"/>
      <c r="CM939" s="46"/>
      <c r="CN939" s="46"/>
    </row>
    <row r="940">
      <c r="A940" s="46"/>
      <c r="B940" s="46"/>
      <c r="C940" s="46"/>
      <c r="D940" s="46"/>
      <c r="E940" s="46"/>
      <c r="F940" s="46"/>
      <c r="G940" s="46"/>
      <c r="H940" s="46"/>
      <c r="I940" s="46"/>
      <c r="J940" s="46"/>
      <c r="K940" s="46"/>
      <c r="L940" s="51"/>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51"/>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6"/>
      <c r="CA940" s="46"/>
      <c r="CB940" s="46"/>
      <c r="CC940" s="46"/>
      <c r="CD940" s="46"/>
      <c r="CE940" s="46"/>
      <c r="CF940" s="46"/>
      <c r="CG940" s="46"/>
      <c r="CH940" s="46"/>
      <c r="CI940" s="46"/>
      <c r="CJ940" s="46"/>
      <c r="CK940" s="46"/>
      <c r="CL940" s="46"/>
      <c r="CM940" s="46"/>
      <c r="CN940" s="46"/>
    </row>
    <row r="941">
      <c r="A941" s="46"/>
      <c r="B941" s="46"/>
      <c r="C941" s="46"/>
      <c r="D941" s="46"/>
      <c r="E941" s="46"/>
      <c r="F941" s="46"/>
      <c r="G941" s="46"/>
      <c r="H941" s="46"/>
      <c r="I941" s="46"/>
      <c r="J941" s="46"/>
      <c r="K941" s="46"/>
      <c r="L941" s="51"/>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51"/>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6"/>
      <c r="CA941" s="46"/>
      <c r="CB941" s="46"/>
      <c r="CC941" s="46"/>
      <c r="CD941" s="46"/>
      <c r="CE941" s="46"/>
      <c r="CF941" s="46"/>
      <c r="CG941" s="46"/>
      <c r="CH941" s="46"/>
      <c r="CI941" s="46"/>
      <c r="CJ941" s="46"/>
      <c r="CK941" s="46"/>
      <c r="CL941" s="46"/>
      <c r="CM941" s="46"/>
      <c r="CN941" s="46"/>
    </row>
    <row r="942">
      <c r="A942" s="46"/>
      <c r="B942" s="46"/>
      <c r="C942" s="46"/>
      <c r="D942" s="46"/>
      <c r="E942" s="46"/>
      <c r="F942" s="46"/>
      <c r="G942" s="46"/>
      <c r="H942" s="46"/>
      <c r="I942" s="46"/>
      <c r="J942" s="46"/>
      <c r="K942" s="46"/>
      <c r="L942" s="51"/>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51"/>
      <c r="BB942" s="46"/>
      <c r="BC942" s="46"/>
      <c r="BD942" s="46"/>
      <c r="BE942" s="46"/>
      <c r="BF942" s="46"/>
      <c r="BG942" s="46"/>
      <c r="BH942" s="46"/>
      <c r="BI942" s="46"/>
      <c r="BJ942" s="46"/>
      <c r="BK942" s="46"/>
      <c r="BL942" s="46"/>
      <c r="BM942" s="46"/>
      <c r="BN942" s="46"/>
      <c r="BO942" s="46"/>
      <c r="BP942" s="46"/>
      <c r="BQ942" s="46"/>
      <c r="BR942" s="46"/>
      <c r="BS942" s="46"/>
      <c r="BT942" s="46"/>
      <c r="BU942" s="46"/>
      <c r="BV942" s="46"/>
      <c r="BW942" s="46"/>
      <c r="BX942" s="46"/>
      <c r="BY942" s="46"/>
      <c r="BZ942" s="46"/>
      <c r="CA942" s="46"/>
      <c r="CB942" s="46"/>
      <c r="CC942" s="46"/>
      <c r="CD942" s="46"/>
      <c r="CE942" s="46"/>
      <c r="CF942" s="46"/>
      <c r="CG942" s="46"/>
      <c r="CH942" s="46"/>
      <c r="CI942" s="46"/>
      <c r="CJ942" s="46"/>
      <c r="CK942" s="46"/>
      <c r="CL942" s="46"/>
      <c r="CM942" s="46"/>
      <c r="CN942" s="46"/>
    </row>
    <row r="943">
      <c r="A943" s="46"/>
      <c r="B943" s="46"/>
      <c r="C943" s="46"/>
      <c r="D943" s="46"/>
      <c r="E943" s="46"/>
      <c r="F943" s="46"/>
      <c r="G943" s="46"/>
      <c r="H943" s="46"/>
      <c r="I943" s="46"/>
      <c r="J943" s="46"/>
      <c r="K943" s="46"/>
      <c r="L943" s="51"/>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51"/>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6"/>
      <c r="CA943" s="46"/>
      <c r="CB943" s="46"/>
      <c r="CC943" s="46"/>
      <c r="CD943" s="46"/>
      <c r="CE943" s="46"/>
      <c r="CF943" s="46"/>
      <c r="CG943" s="46"/>
      <c r="CH943" s="46"/>
      <c r="CI943" s="46"/>
      <c r="CJ943" s="46"/>
      <c r="CK943" s="46"/>
      <c r="CL943" s="46"/>
      <c r="CM943" s="46"/>
      <c r="CN943" s="46"/>
    </row>
    <row r="944">
      <c r="A944" s="46"/>
      <c r="B944" s="46"/>
      <c r="C944" s="46"/>
      <c r="D944" s="46"/>
      <c r="E944" s="46"/>
      <c r="F944" s="46"/>
      <c r="G944" s="46"/>
      <c r="H944" s="46"/>
      <c r="I944" s="46"/>
      <c r="J944" s="46"/>
      <c r="K944" s="46"/>
      <c r="L944" s="51"/>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51"/>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6"/>
      <c r="CA944" s="46"/>
      <c r="CB944" s="46"/>
      <c r="CC944" s="46"/>
      <c r="CD944" s="46"/>
      <c r="CE944" s="46"/>
      <c r="CF944" s="46"/>
      <c r="CG944" s="46"/>
      <c r="CH944" s="46"/>
      <c r="CI944" s="46"/>
      <c r="CJ944" s="46"/>
      <c r="CK944" s="46"/>
      <c r="CL944" s="46"/>
      <c r="CM944" s="46"/>
      <c r="CN944" s="46"/>
    </row>
    <row r="945">
      <c r="A945" s="46"/>
      <c r="B945" s="46"/>
      <c r="C945" s="46"/>
      <c r="D945" s="46"/>
      <c r="E945" s="46"/>
      <c r="F945" s="46"/>
      <c r="G945" s="46"/>
      <c r="H945" s="46"/>
      <c r="I945" s="46"/>
      <c r="J945" s="46"/>
      <c r="K945" s="46"/>
      <c r="L945" s="51"/>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51"/>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6"/>
      <c r="CA945" s="46"/>
      <c r="CB945" s="46"/>
      <c r="CC945" s="46"/>
      <c r="CD945" s="46"/>
      <c r="CE945" s="46"/>
      <c r="CF945" s="46"/>
      <c r="CG945" s="46"/>
      <c r="CH945" s="46"/>
      <c r="CI945" s="46"/>
      <c r="CJ945" s="46"/>
      <c r="CK945" s="46"/>
      <c r="CL945" s="46"/>
      <c r="CM945" s="46"/>
      <c r="CN945" s="46"/>
    </row>
    <row r="946">
      <c r="A946" s="46"/>
      <c r="B946" s="46"/>
      <c r="C946" s="46"/>
      <c r="D946" s="46"/>
      <c r="E946" s="46"/>
      <c r="F946" s="46"/>
      <c r="G946" s="46"/>
      <c r="H946" s="46"/>
      <c r="I946" s="46"/>
      <c r="J946" s="46"/>
      <c r="K946" s="46"/>
      <c r="L946" s="51"/>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51"/>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6"/>
      <c r="CA946" s="46"/>
      <c r="CB946" s="46"/>
      <c r="CC946" s="46"/>
      <c r="CD946" s="46"/>
      <c r="CE946" s="46"/>
      <c r="CF946" s="46"/>
      <c r="CG946" s="46"/>
      <c r="CH946" s="46"/>
      <c r="CI946" s="46"/>
      <c r="CJ946" s="46"/>
      <c r="CK946" s="46"/>
      <c r="CL946" s="46"/>
      <c r="CM946" s="46"/>
      <c r="CN946" s="46"/>
    </row>
    <row r="947">
      <c r="A947" s="46"/>
      <c r="B947" s="46"/>
      <c r="C947" s="46"/>
      <c r="D947" s="46"/>
      <c r="E947" s="46"/>
      <c r="F947" s="46"/>
      <c r="G947" s="46"/>
      <c r="H947" s="46"/>
      <c r="I947" s="46"/>
      <c r="J947" s="46"/>
      <c r="K947" s="46"/>
      <c r="L947" s="51"/>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51"/>
      <c r="BB947" s="46"/>
      <c r="BC947" s="46"/>
      <c r="BD947" s="46"/>
      <c r="BE947" s="46"/>
      <c r="BF947" s="46"/>
      <c r="BG947" s="46"/>
      <c r="BH947" s="46"/>
      <c r="BI947" s="46"/>
      <c r="BJ947" s="46"/>
      <c r="BK947" s="46"/>
      <c r="BL947" s="46"/>
      <c r="BM947" s="46"/>
      <c r="BN947" s="46"/>
      <c r="BO947" s="46"/>
      <c r="BP947" s="46"/>
      <c r="BQ947" s="46"/>
      <c r="BR947" s="46"/>
      <c r="BS947" s="46"/>
      <c r="BT947" s="46"/>
      <c r="BU947" s="46"/>
      <c r="BV947" s="46"/>
      <c r="BW947" s="46"/>
      <c r="BX947" s="46"/>
      <c r="BY947" s="46"/>
      <c r="BZ947" s="46"/>
      <c r="CA947" s="46"/>
      <c r="CB947" s="46"/>
      <c r="CC947" s="46"/>
      <c r="CD947" s="46"/>
      <c r="CE947" s="46"/>
      <c r="CF947" s="46"/>
      <c r="CG947" s="46"/>
      <c r="CH947" s="46"/>
      <c r="CI947" s="46"/>
      <c r="CJ947" s="46"/>
      <c r="CK947" s="46"/>
      <c r="CL947" s="46"/>
      <c r="CM947" s="46"/>
      <c r="CN947" s="46"/>
    </row>
    <row r="948">
      <c r="A948" s="46"/>
      <c r="B948" s="46"/>
      <c r="C948" s="46"/>
      <c r="D948" s="46"/>
      <c r="E948" s="46"/>
      <c r="F948" s="46"/>
      <c r="G948" s="46"/>
      <c r="H948" s="46"/>
      <c r="I948" s="46"/>
      <c r="J948" s="46"/>
      <c r="K948" s="46"/>
      <c r="L948" s="51"/>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51"/>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6"/>
      <c r="CA948" s="46"/>
      <c r="CB948" s="46"/>
      <c r="CC948" s="46"/>
      <c r="CD948" s="46"/>
      <c r="CE948" s="46"/>
      <c r="CF948" s="46"/>
      <c r="CG948" s="46"/>
      <c r="CH948" s="46"/>
      <c r="CI948" s="46"/>
      <c r="CJ948" s="46"/>
      <c r="CK948" s="46"/>
      <c r="CL948" s="46"/>
      <c r="CM948" s="46"/>
      <c r="CN948" s="46"/>
    </row>
    <row r="949">
      <c r="A949" s="46"/>
      <c r="B949" s="46"/>
      <c r="C949" s="46"/>
      <c r="D949" s="46"/>
      <c r="E949" s="46"/>
      <c r="F949" s="46"/>
      <c r="G949" s="46"/>
      <c r="H949" s="46"/>
      <c r="I949" s="46"/>
      <c r="J949" s="46"/>
      <c r="K949" s="46"/>
      <c r="L949" s="51"/>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51"/>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6"/>
      <c r="CA949" s="46"/>
      <c r="CB949" s="46"/>
      <c r="CC949" s="46"/>
      <c r="CD949" s="46"/>
      <c r="CE949" s="46"/>
      <c r="CF949" s="46"/>
      <c r="CG949" s="46"/>
      <c r="CH949" s="46"/>
      <c r="CI949" s="46"/>
      <c r="CJ949" s="46"/>
      <c r="CK949" s="46"/>
      <c r="CL949" s="46"/>
      <c r="CM949" s="46"/>
      <c r="CN949" s="46"/>
    </row>
    <row r="950">
      <c r="A950" s="46"/>
      <c r="B950" s="46"/>
      <c r="C950" s="46"/>
      <c r="D950" s="46"/>
      <c r="E950" s="46"/>
      <c r="F950" s="46"/>
      <c r="G950" s="46"/>
      <c r="H950" s="46"/>
      <c r="I950" s="46"/>
      <c r="J950" s="46"/>
      <c r="K950" s="46"/>
      <c r="L950" s="51"/>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51"/>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6"/>
      <c r="CA950" s="46"/>
      <c r="CB950" s="46"/>
      <c r="CC950" s="46"/>
      <c r="CD950" s="46"/>
      <c r="CE950" s="46"/>
      <c r="CF950" s="46"/>
      <c r="CG950" s="46"/>
      <c r="CH950" s="46"/>
      <c r="CI950" s="46"/>
      <c r="CJ950" s="46"/>
      <c r="CK950" s="46"/>
      <c r="CL950" s="46"/>
      <c r="CM950" s="46"/>
      <c r="CN950" s="46"/>
    </row>
    <row r="951">
      <c r="A951" s="46"/>
      <c r="B951" s="46"/>
      <c r="C951" s="46"/>
      <c r="D951" s="46"/>
      <c r="E951" s="46"/>
      <c r="F951" s="46"/>
      <c r="G951" s="46"/>
      <c r="H951" s="46"/>
      <c r="I951" s="46"/>
      <c r="J951" s="46"/>
      <c r="K951" s="46"/>
      <c r="L951" s="51"/>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51"/>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6"/>
      <c r="CA951" s="46"/>
      <c r="CB951" s="46"/>
      <c r="CC951" s="46"/>
      <c r="CD951" s="46"/>
      <c r="CE951" s="46"/>
      <c r="CF951" s="46"/>
      <c r="CG951" s="46"/>
      <c r="CH951" s="46"/>
      <c r="CI951" s="46"/>
      <c r="CJ951" s="46"/>
      <c r="CK951" s="46"/>
      <c r="CL951" s="46"/>
      <c r="CM951" s="46"/>
      <c r="CN951" s="46"/>
    </row>
    <row r="952">
      <c r="A952" s="46"/>
      <c r="B952" s="46"/>
      <c r="C952" s="46"/>
      <c r="D952" s="46"/>
      <c r="E952" s="46"/>
      <c r="F952" s="46"/>
      <c r="G952" s="46"/>
      <c r="H952" s="46"/>
      <c r="I952" s="46"/>
      <c r="J952" s="46"/>
      <c r="K952" s="46"/>
      <c r="L952" s="51"/>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51"/>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6"/>
      <c r="CA952" s="46"/>
      <c r="CB952" s="46"/>
      <c r="CC952" s="46"/>
      <c r="CD952" s="46"/>
      <c r="CE952" s="46"/>
      <c r="CF952" s="46"/>
      <c r="CG952" s="46"/>
      <c r="CH952" s="46"/>
      <c r="CI952" s="46"/>
      <c r="CJ952" s="46"/>
      <c r="CK952" s="46"/>
      <c r="CL952" s="46"/>
      <c r="CM952" s="46"/>
      <c r="CN952" s="46"/>
    </row>
    <row r="953">
      <c r="A953" s="46"/>
      <c r="B953" s="46"/>
      <c r="C953" s="46"/>
      <c r="D953" s="46"/>
      <c r="E953" s="46"/>
      <c r="F953" s="46"/>
      <c r="G953" s="46"/>
      <c r="H953" s="46"/>
      <c r="I953" s="46"/>
      <c r="J953" s="46"/>
      <c r="K953" s="46"/>
      <c r="L953" s="51"/>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51"/>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6"/>
      <c r="CA953" s="46"/>
      <c r="CB953" s="46"/>
      <c r="CC953" s="46"/>
      <c r="CD953" s="46"/>
      <c r="CE953" s="46"/>
      <c r="CF953" s="46"/>
      <c r="CG953" s="46"/>
      <c r="CH953" s="46"/>
      <c r="CI953" s="46"/>
      <c r="CJ953" s="46"/>
      <c r="CK953" s="46"/>
      <c r="CL953" s="46"/>
      <c r="CM953" s="46"/>
      <c r="CN953" s="46"/>
    </row>
    <row r="954">
      <c r="A954" s="46"/>
      <c r="B954" s="46"/>
      <c r="C954" s="46"/>
      <c r="D954" s="46"/>
      <c r="E954" s="46"/>
      <c r="F954" s="46"/>
      <c r="G954" s="46"/>
      <c r="H954" s="46"/>
      <c r="I954" s="46"/>
      <c r="J954" s="46"/>
      <c r="K954" s="46"/>
      <c r="L954" s="51"/>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51"/>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6"/>
      <c r="CA954" s="46"/>
      <c r="CB954" s="46"/>
      <c r="CC954" s="46"/>
      <c r="CD954" s="46"/>
      <c r="CE954" s="46"/>
      <c r="CF954" s="46"/>
      <c r="CG954" s="46"/>
      <c r="CH954" s="46"/>
      <c r="CI954" s="46"/>
      <c r="CJ954" s="46"/>
      <c r="CK954" s="46"/>
      <c r="CL954" s="46"/>
      <c r="CM954" s="46"/>
      <c r="CN954" s="46"/>
    </row>
    <row r="955">
      <c r="A955" s="46"/>
      <c r="B955" s="46"/>
      <c r="C955" s="46"/>
      <c r="D955" s="46"/>
      <c r="E955" s="46"/>
      <c r="F955" s="46"/>
      <c r="G955" s="46"/>
      <c r="H955" s="46"/>
      <c r="I955" s="46"/>
      <c r="J955" s="46"/>
      <c r="K955" s="46"/>
      <c r="L955" s="51"/>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51"/>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6"/>
      <c r="CA955" s="46"/>
      <c r="CB955" s="46"/>
      <c r="CC955" s="46"/>
      <c r="CD955" s="46"/>
      <c r="CE955" s="46"/>
      <c r="CF955" s="46"/>
      <c r="CG955" s="46"/>
      <c r="CH955" s="46"/>
      <c r="CI955" s="46"/>
      <c r="CJ955" s="46"/>
      <c r="CK955" s="46"/>
      <c r="CL955" s="46"/>
      <c r="CM955" s="46"/>
      <c r="CN955" s="46"/>
    </row>
    <row r="956">
      <c r="A956" s="46"/>
      <c r="B956" s="46"/>
      <c r="C956" s="46"/>
      <c r="D956" s="46"/>
      <c r="E956" s="46"/>
      <c r="F956" s="46"/>
      <c r="G956" s="46"/>
      <c r="H956" s="46"/>
      <c r="I956" s="46"/>
      <c r="J956" s="46"/>
      <c r="K956" s="46"/>
      <c r="L956" s="51"/>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51"/>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6"/>
      <c r="CA956" s="46"/>
      <c r="CB956" s="46"/>
      <c r="CC956" s="46"/>
      <c r="CD956" s="46"/>
      <c r="CE956" s="46"/>
      <c r="CF956" s="46"/>
      <c r="CG956" s="46"/>
      <c r="CH956" s="46"/>
      <c r="CI956" s="46"/>
      <c r="CJ956" s="46"/>
      <c r="CK956" s="46"/>
      <c r="CL956" s="46"/>
      <c r="CM956" s="46"/>
      <c r="CN956" s="46"/>
    </row>
    <row r="957">
      <c r="A957" s="46"/>
      <c r="B957" s="46"/>
      <c r="C957" s="46"/>
      <c r="D957" s="46"/>
      <c r="E957" s="46"/>
      <c r="F957" s="46"/>
      <c r="G957" s="46"/>
      <c r="H957" s="46"/>
      <c r="I957" s="46"/>
      <c r="J957" s="46"/>
      <c r="K957" s="46"/>
      <c r="L957" s="51"/>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51"/>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6"/>
      <c r="CA957" s="46"/>
      <c r="CB957" s="46"/>
      <c r="CC957" s="46"/>
      <c r="CD957" s="46"/>
      <c r="CE957" s="46"/>
      <c r="CF957" s="46"/>
      <c r="CG957" s="46"/>
      <c r="CH957" s="46"/>
      <c r="CI957" s="46"/>
      <c r="CJ957" s="46"/>
      <c r="CK957" s="46"/>
      <c r="CL957" s="46"/>
      <c r="CM957" s="46"/>
      <c r="CN957" s="46"/>
    </row>
    <row r="958">
      <c r="A958" s="46"/>
      <c r="B958" s="46"/>
      <c r="C958" s="46"/>
      <c r="D958" s="46"/>
      <c r="E958" s="46"/>
      <c r="F958" s="46"/>
      <c r="G958" s="46"/>
      <c r="H958" s="46"/>
      <c r="I958" s="46"/>
      <c r="J958" s="46"/>
      <c r="K958" s="46"/>
      <c r="L958" s="51"/>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51"/>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6"/>
      <c r="CA958" s="46"/>
      <c r="CB958" s="46"/>
      <c r="CC958" s="46"/>
      <c r="CD958" s="46"/>
      <c r="CE958" s="46"/>
      <c r="CF958" s="46"/>
      <c r="CG958" s="46"/>
      <c r="CH958" s="46"/>
      <c r="CI958" s="46"/>
      <c r="CJ958" s="46"/>
      <c r="CK958" s="46"/>
      <c r="CL958" s="46"/>
      <c r="CM958" s="46"/>
      <c r="CN958" s="46"/>
    </row>
    <row r="959">
      <c r="A959" s="46"/>
      <c r="B959" s="46"/>
      <c r="C959" s="46"/>
      <c r="D959" s="46"/>
      <c r="E959" s="46"/>
      <c r="F959" s="46"/>
      <c r="G959" s="46"/>
      <c r="H959" s="46"/>
      <c r="I959" s="46"/>
      <c r="J959" s="46"/>
      <c r="K959" s="46"/>
      <c r="L959" s="51"/>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51"/>
      <c r="BB959" s="46"/>
      <c r="BC959" s="46"/>
      <c r="BD959" s="46"/>
      <c r="BE959" s="46"/>
      <c r="BF959" s="46"/>
      <c r="BG959" s="46"/>
      <c r="BH959" s="46"/>
      <c r="BI959" s="46"/>
      <c r="BJ959" s="46"/>
      <c r="BK959" s="46"/>
      <c r="BL959" s="46"/>
      <c r="BM959" s="46"/>
      <c r="BN959" s="46"/>
      <c r="BO959" s="46"/>
      <c r="BP959" s="46"/>
      <c r="BQ959" s="46"/>
      <c r="BR959" s="46"/>
      <c r="BS959" s="46"/>
      <c r="BT959" s="46"/>
      <c r="BU959" s="46"/>
      <c r="BV959" s="46"/>
      <c r="BW959" s="46"/>
      <c r="BX959" s="46"/>
      <c r="BY959" s="46"/>
      <c r="BZ959" s="46"/>
      <c r="CA959" s="46"/>
      <c r="CB959" s="46"/>
      <c r="CC959" s="46"/>
      <c r="CD959" s="46"/>
      <c r="CE959" s="46"/>
      <c r="CF959" s="46"/>
      <c r="CG959" s="46"/>
      <c r="CH959" s="46"/>
      <c r="CI959" s="46"/>
      <c r="CJ959" s="46"/>
      <c r="CK959" s="46"/>
      <c r="CL959" s="46"/>
      <c r="CM959" s="46"/>
      <c r="CN959" s="46"/>
    </row>
    <row r="960">
      <c r="A960" s="46"/>
      <c r="B960" s="46"/>
      <c r="C960" s="46"/>
      <c r="D960" s="46"/>
      <c r="E960" s="46"/>
      <c r="F960" s="46"/>
      <c r="G960" s="46"/>
      <c r="H960" s="46"/>
      <c r="I960" s="46"/>
      <c r="J960" s="46"/>
      <c r="K960" s="46"/>
      <c r="L960" s="51"/>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51"/>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6"/>
      <c r="CA960" s="46"/>
      <c r="CB960" s="46"/>
      <c r="CC960" s="46"/>
      <c r="CD960" s="46"/>
      <c r="CE960" s="46"/>
      <c r="CF960" s="46"/>
      <c r="CG960" s="46"/>
      <c r="CH960" s="46"/>
      <c r="CI960" s="46"/>
      <c r="CJ960" s="46"/>
      <c r="CK960" s="46"/>
      <c r="CL960" s="46"/>
      <c r="CM960" s="46"/>
      <c r="CN960" s="46"/>
    </row>
    <row r="961">
      <c r="A961" s="46"/>
      <c r="B961" s="46"/>
      <c r="C961" s="46"/>
      <c r="D961" s="46"/>
      <c r="E961" s="46"/>
      <c r="F961" s="46"/>
      <c r="G961" s="46"/>
      <c r="H961" s="46"/>
      <c r="I961" s="46"/>
      <c r="J961" s="46"/>
      <c r="K961" s="46"/>
      <c r="L961" s="51"/>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51"/>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6"/>
      <c r="CA961" s="46"/>
      <c r="CB961" s="46"/>
      <c r="CC961" s="46"/>
      <c r="CD961" s="46"/>
      <c r="CE961" s="46"/>
      <c r="CF961" s="46"/>
      <c r="CG961" s="46"/>
      <c r="CH961" s="46"/>
      <c r="CI961" s="46"/>
      <c r="CJ961" s="46"/>
      <c r="CK961" s="46"/>
      <c r="CL961" s="46"/>
      <c r="CM961" s="46"/>
      <c r="CN961" s="46"/>
    </row>
    <row r="962">
      <c r="A962" s="46"/>
      <c r="B962" s="46"/>
      <c r="C962" s="46"/>
      <c r="D962" s="46"/>
      <c r="E962" s="46"/>
      <c r="F962" s="46"/>
      <c r="G962" s="46"/>
      <c r="H962" s="46"/>
      <c r="I962" s="46"/>
      <c r="J962" s="46"/>
      <c r="K962" s="46"/>
      <c r="L962" s="51"/>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51"/>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6"/>
      <c r="CA962" s="46"/>
      <c r="CB962" s="46"/>
      <c r="CC962" s="46"/>
      <c r="CD962" s="46"/>
      <c r="CE962" s="46"/>
      <c r="CF962" s="46"/>
      <c r="CG962" s="46"/>
      <c r="CH962" s="46"/>
      <c r="CI962" s="46"/>
      <c r="CJ962" s="46"/>
      <c r="CK962" s="46"/>
      <c r="CL962" s="46"/>
      <c r="CM962" s="46"/>
      <c r="CN962" s="46"/>
    </row>
    <row r="963">
      <c r="A963" s="46"/>
      <c r="B963" s="46"/>
      <c r="C963" s="46"/>
      <c r="D963" s="46"/>
      <c r="E963" s="46"/>
      <c r="F963" s="46"/>
      <c r="G963" s="46"/>
      <c r="H963" s="46"/>
      <c r="I963" s="46"/>
      <c r="J963" s="46"/>
      <c r="K963" s="46"/>
      <c r="L963" s="51"/>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51"/>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6"/>
      <c r="CA963" s="46"/>
      <c r="CB963" s="46"/>
      <c r="CC963" s="46"/>
      <c r="CD963" s="46"/>
      <c r="CE963" s="46"/>
      <c r="CF963" s="46"/>
      <c r="CG963" s="46"/>
      <c r="CH963" s="46"/>
      <c r="CI963" s="46"/>
      <c r="CJ963" s="46"/>
      <c r="CK963" s="46"/>
      <c r="CL963" s="46"/>
      <c r="CM963" s="46"/>
      <c r="CN963" s="46"/>
    </row>
    <row r="964">
      <c r="A964" s="46"/>
      <c r="B964" s="46"/>
      <c r="C964" s="46"/>
      <c r="D964" s="46"/>
      <c r="E964" s="46"/>
      <c r="F964" s="46"/>
      <c r="G964" s="46"/>
      <c r="H964" s="46"/>
      <c r="I964" s="46"/>
      <c r="J964" s="46"/>
      <c r="K964" s="46"/>
      <c r="L964" s="51"/>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51"/>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6"/>
      <c r="CA964" s="46"/>
      <c r="CB964" s="46"/>
      <c r="CC964" s="46"/>
      <c r="CD964" s="46"/>
      <c r="CE964" s="46"/>
      <c r="CF964" s="46"/>
      <c r="CG964" s="46"/>
      <c r="CH964" s="46"/>
      <c r="CI964" s="46"/>
      <c r="CJ964" s="46"/>
      <c r="CK964" s="46"/>
      <c r="CL964" s="46"/>
      <c r="CM964" s="46"/>
      <c r="CN964" s="46"/>
    </row>
    <row r="965">
      <c r="A965" s="46"/>
      <c r="B965" s="46"/>
      <c r="C965" s="46"/>
      <c r="D965" s="46"/>
      <c r="E965" s="46"/>
      <c r="F965" s="46"/>
      <c r="G965" s="46"/>
      <c r="H965" s="46"/>
      <c r="I965" s="46"/>
      <c r="J965" s="46"/>
      <c r="K965" s="46"/>
      <c r="L965" s="51"/>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51"/>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6"/>
      <c r="CA965" s="46"/>
      <c r="CB965" s="46"/>
      <c r="CC965" s="46"/>
      <c r="CD965" s="46"/>
      <c r="CE965" s="46"/>
      <c r="CF965" s="46"/>
      <c r="CG965" s="46"/>
      <c r="CH965" s="46"/>
      <c r="CI965" s="46"/>
      <c r="CJ965" s="46"/>
      <c r="CK965" s="46"/>
      <c r="CL965" s="46"/>
      <c r="CM965" s="46"/>
      <c r="CN965" s="46"/>
    </row>
    <row r="966">
      <c r="A966" s="46"/>
      <c r="B966" s="46"/>
      <c r="C966" s="46"/>
      <c r="D966" s="46"/>
      <c r="E966" s="46"/>
      <c r="F966" s="46"/>
      <c r="G966" s="46"/>
      <c r="H966" s="46"/>
      <c r="I966" s="46"/>
      <c r="J966" s="46"/>
      <c r="K966" s="46"/>
      <c r="L966" s="51"/>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51"/>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6"/>
      <c r="CA966" s="46"/>
      <c r="CB966" s="46"/>
      <c r="CC966" s="46"/>
      <c r="CD966" s="46"/>
      <c r="CE966" s="46"/>
      <c r="CF966" s="46"/>
      <c r="CG966" s="46"/>
      <c r="CH966" s="46"/>
      <c r="CI966" s="46"/>
      <c r="CJ966" s="46"/>
      <c r="CK966" s="46"/>
      <c r="CL966" s="46"/>
      <c r="CM966" s="46"/>
      <c r="CN966" s="46"/>
    </row>
    <row r="967">
      <c r="A967" s="46"/>
      <c r="B967" s="46"/>
      <c r="C967" s="46"/>
      <c r="D967" s="46"/>
      <c r="E967" s="46"/>
      <c r="F967" s="46"/>
      <c r="G967" s="46"/>
      <c r="H967" s="46"/>
      <c r="I967" s="46"/>
      <c r="J967" s="46"/>
      <c r="K967" s="46"/>
      <c r="L967" s="51"/>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51"/>
      <c r="BB967" s="46"/>
      <c r="BC967" s="46"/>
      <c r="BD967" s="46"/>
      <c r="BE967" s="46"/>
      <c r="BF967" s="46"/>
      <c r="BG967" s="46"/>
      <c r="BH967" s="46"/>
      <c r="BI967" s="46"/>
      <c r="BJ967" s="46"/>
      <c r="BK967" s="46"/>
      <c r="BL967" s="46"/>
      <c r="BM967" s="46"/>
      <c r="BN967" s="46"/>
      <c r="BO967" s="46"/>
      <c r="BP967" s="46"/>
      <c r="BQ967" s="46"/>
      <c r="BR967" s="46"/>
      <c r="BS967" s="46"/>
      <c r="BT967" s="46"/>
      <c r="BU967" s="46"/>
      <c r="BV967" s="46"/>
      <c r="BW967" s="46"/>
      <c r="BX967" s="46"/>
      <c r="BY967" s="46"/>
      <c r="BZ967" s="46"/>
      <c r="CA967" s="46"/>
      <c r="CB967" s="46"/>
      <c r="CC967" s="46"/>
      <c r="CD967" s="46"/>
      <c r="CE967" s="46"/>
      <c r="CF967" s="46"/>
      <c r="CG967" s="46"/>
      <c r="CH967" s="46"/>
      <c r="CI967" s="46"/>
      <c r="CJ967" s="46"/>
      <c r="CK967" s="46"/>
      <c r="CL967" s="46"/>
      <c r="CM967" s="46"/>
      <c r="CN967" s="46"/>
    </row>
    <row r="968">
      <c r="A968" s="46"/>
      <c r="B968" s="46"/>
      <c r="C968" s="46"/>
      <c r="D968" s="46"/>
      <c r="E968" s="46"/>
      <c r="F968" s="46"/>
      <c r="G968" s="46"/>
      <c r="H968" s="46"/>
      <c r="I968" s="46"/>
      <c r="J968" s="46"/>
      <c r="K968" s="46"/>
      <c r="L968" s="51"/>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51"/>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6"/>
      <c r="CA968" s="46"/>
      <c r="CB968" s="46"/>
      <c r="CC968" s="46"/>
      <c r="CD968" s="46"/>
      <c r="CE968" s="46"/>
      <c r="CF968" s="46"/>
      <c r="CG968" s="46"/>
      <c r="CH968" s="46"/>
      <c r="CI968" s="46"/>
      <c r="CJ968" s="46"/>
      <c r="CK968" s="46"/>
      <c r="CL968" s="46"/>
      <c r="CM968" s="46"/>
      <c r="CN968" s="46"/>
    </row>
    <row r="969">
      <c r="A969" s="46"/>
      <c r="B969" s="46"/>
      <c r="C969" s="46"/>
      <c r="D969" s="46"/>
      <c r="E969" s="46"/>
      <c r="F969" s="46"/>
      <c r="G969" s="46"/>
      <c r="H969" s="46"/>
      <c r="I969" s="46"/>
      <c r="J969" s="46"/>
      <c r="K969" s="46"/>
      <c r="L969" s="51"/>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51"/>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6"/>
      <c r="CA969" s="46"/>
      <c r="CB969" s="46"/>
      <c r="CC969" s="46"/>
      <c r="CD969" s="46"/>
      <c r="CE969" s="46"/>
      <c r="CF969" s="46"/>
      <c r="CG969" s="46"/>
      <c r="CH969" s="46"/>
      <c r="CI969" s="46"/>
      <c r="CJ969" s="46"/>
      <c r="CK969" s="46"/>
      <c r="CL969" s="46"/>
      <c r="CM969" s="46"/>
      <c r="CN969" s="46"/>
    </row>
    <row r="970">
      <c r="A970" s="46"/>
      <c r="B970" s="46"/>
      <c r="C970" s="46"/>
      <c r="D970" s="46"/>
      <c r="E970" s="46"/>
      <c r="F970" s="46"/>
      <c r="G970" s="46"/>
      <c r="H970" s="46"/>
      <c r="I970" s="46"/>
      <c r="J970" s="46"/>
      <c r="K970" s="46"/>
      <c r="L970" s="51"/>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51"/>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6"/>
      <c r="CA970" s="46"/>
      <c r="CB970" s="46"/>
      <c r="CC970" s="46"/>
      <c r="CD970" s="46"/>
      <c r="CE970" s="46"/>
      <c r="CF970" s="46"/>
      <c r="CG970" s="46"/>
      <c r="CH970" s="46"/>
      <c r="CI970" s="46"/>
      <c r="CJ970" s="46"/>
      <c r="CK970" s="46"/>
      <c r="CL970" s="46"/>
      <c r="CM970" s="46"/>
      <c r="CN970" s="46"/>
    </row>
    <row r="971">
      <c r="A971" s="46"/>
      <c r="B971" s="46"/>
      <c r="C971" s="46"/>
      <c r="D971" s="46"/>
      <c r="E971" s="46"/>
      <c r="F971" s="46"/>
      <c r="G971" s="46"/>
      <c r="H971" s="46"/>
      <c r="I971" s="46"/>
      <c r="J971" s="46"/>
      <c r="K971" s="46"/>
      <c r="L971" s="51"/>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51"/>
      <c r="BB971" s="46"/>
      <c r="BC971" s="46"/>
      <c r="BD971" s="46"/>
      <c r="BE971" s="46"/>
      <c r="BF971" s="46"/>
      <c r="BG971" s="46"/>
      <c r="BH971" s="46"/>
      <c r="BI971" s="46"/>
      <c r="BJ971" s="46"/>
      <c r="BK971" s="46"/>
      <c r="BL971" s="46"/>
      <c r="BM971" s="46"/>
      <c r="BN971" s="46"/>
      <c r="BO971" s="46"/>
      <c r="BP971" s="46"/>
      <c r="BQ971" s="46"/>
      <c r="BR971" s="46"/>
      <c r="BS971" s="46"/>
      <c r="BT971" s="46"/>
      <c r="BU971" s="46"/>
      <c r="BV971" s="46"/>
      <c r="BW971" s="46"/>
      <c r="BX971" s="46"/>
      <c r="BY971" s="46"/>
      <c r="BZ971" s="46"/>
      <c r="CA971" s="46"/>
      <c r="CB971" s="46"/>
      <c r="CC971" s="46"/>
      <c r="CD971" s="46"/>
      <c r="CE971" s="46"/>
      <c r="CF971" s="46"/>
      <c r="CG971" s="46"/>
      <c r="CH971" s="46"/>
      <c r="CI971" s="46"/>
      <c r="CJ971" s="46"/>
      <c r="CK971" s="46"/>
      <c r="CL971" s="46"/>
      <c r="CM971" s="46"/>
      <c r="CN971" s="46"/>
    </row>
    <row r="972">
      <c r="A972" s="46"/>
      <c r="B972" s="46"/>
      <c r="C972" s="46"/>
      <c r="D972" s="46"/>
      <c r="E972" s="46"/>
      <c r="F972" s="46"/>
      <c r="G972" s="46"/>
      <c r="H972" s="46"/>
      <c r="I972" s="46"/>
      <c r="J972" s="46"/>
      <c r="K972" s="46"/>
      <c r="L972" s="51"/>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51"/>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6"/>
      <c r="CA972" s="46"/>
      <c r="CB972" s="46"/>
      <c r="CC972" s="46"/>
      <c r="CD972" s="46"/>
      <c r="CE972" s="46"/>
      <c r="CF972" s="46"/>
      <c r="CG972" s="46"/>
      <c r="CH972" s="46"/>
      <c r="CI972" s="46"/>
      <c r="CJ972" s="46"/>
      <c r="CK972" s="46"/>
      <c r="CL972" s="46"/>
      <c r="CM972" s="46"/>
      <c r="CN972" s="46"/>
    </row>
    <row r="973">
      <c r="A973" s="46"/>
      <c r="B973" s="46"/>
      <c r="C973" s="46"/>
      <c r="D973" s="46"/>
      <c r="E973" s="46"/>
      <c r="F973" s="46"/>
      <c r="G973" s="46"/>
      <c r="H973" s="46"/>
      <c r="I973" s="46"/>
      <c r="J973" s="46"/>
      <c r="K973" s="46"/>
      <c r="L973" s="51"/>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51"/>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6"/>
      <c r="CA973" s="46"/>
      <c r="CB973" s="46"/>
      <c r="CC973" s="46"/>
      <c r="CD973" s="46"/>
      <c r="CE973" s="46"/>
      <c r="CF973" s="46"/>
      <c r="CG973" s="46"/>
      <c r="CH973" s="46"/>
      <c r="CI973" s="46"/>
      <c r="CJ973" s="46"/>
      <c r="CK973" s="46"/>
      <c r="CL973" s="46"/>
      <c r="CM973" s="46"/>
      <c r="CN973" s="46"/>
    </row>
    <row r="974">
      <c r="A974" s="46"/>
      <c r="B974" s="46"/>
      <c r="C974" s="46"/>
      <c r="D974" s="46"/>
      <c r="E974" s="46"/>
      <c r="F974" s="46"/>
      <c r="G974" s="46"/>
      <c r="H974" s="46"/>
      <c r="I974" s="46"/>
      <c r="J974" s="46"/>
      <c r="K974" s="46"/>
      <c r="L974" s="51"/>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51"/>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6"/>
      <c r="CA974" s="46"/>
      <c r="CB974" s="46"/>
      <c r="CC974" s="46"/>
      <c r="CD974" s="46"/>
      <c r="CE974" s="46"/>
      <c r="CF974" s="46"/>
      <c r="CG974" s="46"/>
      <c r="CH974" s="46"/>
      <c r="CI974" s="46"/>
      <c r="CJ974" s="46"/>
      <c r="CK974" s="46"/>
      <c r="CL974" s="46"/>
      <c r="CM974" s="46"/>
      <c r="CN974" s="46"/>
    </row>
    <row r="975">
      <c r="A975" s="46"/>
      <c r="B975" s="46"/>
      <c r="C975" s="46"/>
      <c r="D975" s="46"/>
      <c r="E975" s="46"/>
      <c r="F975" s="46"/>
      <c r="G975" s="46"/>
      <c r="H975" s="46"/>
      <c r="I975" s="46"/>
      <c r="J975" s="46"/>
      <c r="K975" s="46"/>
      <c r="L975" s="51"/>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51"/>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6"/>
      <c r="CA975" s="46"/>
      <c r="CB975" s="46"/>
      <c r="CC975" s="46"/>
      <c r="CD975" s="46"/>
      <c r="CE975" s="46"/>
      <c r="CF975" s="46"/>
      <c r="CG975" s="46"/>
      <c r="CH975" s="46"/>
      <c r="CI975" s="46"/>
      <c r="CJ975" s="46"/>
      <c r="CK975" s="46"/>
      <c r="CL975" s="46"/>
      <c r="CM975" s="46"/>
      <c r="CN975" s="46"/>
    </row>
    <row r="976">
      <c r="A976" s="46"/>
      <c r="B976" s="46"/>
      <c r="C976" s="46"/>
      <c r="D976" s="46"/>
      <c r="E976" s="46"/>
      <c r="F976" s="46"/>
      <c r="G976" s="46"/>
      <c r="H976" s="46"/>
      <c r="I976" s="46"/>
      <c r="J976" s="46"/>
      <c r="K976" s="46"/>
      <c r="L976" s="51"/>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51"/>
      <c r="BB976" s="46"/>
      <c r="BC976" s="46"/>
      <c r="BD976" s="46"/>
      <c r="BE976" s="46"/>
      <c r="BF976" s="46"/>
      <c r="BG976" s="46"/>
      <c r="BH976" s="46"/>
      <c r="BI976" s="46"/>
      <c r="BJ976" s="46"/>
      <c r="BK976" s="46"/>
      <c r="BL976" s="46"/>
      <c r="BM976" s="46"/>
      <c r="BN976" s="46"/>
      <c r="BO976" s="46"/>
      <c r="BP976" s="46"/>
      <c r="BQ976" s="46"/>
      <c r="BR976" s="46"/>
      <c r="BS976" s="46"/>
      <c r="BT976" s="46"/>
      <c r="BU976" s="46"/>
      <c r="BV976" s="46"/>
      <c r="BW976" s="46"/>
      <c r="BX976" s="46"/>
      <c r="BY976" s="46"/>
      <c r="BZ976" s="46"/>
      <c r="CA976" s="46"/>
      <c r="CB976" s="46"/>
      <c r="CC976" s="46"/>
      <c r="CD976" s="46"/>
      <c r="CE976" s="46"/>
      <c r="CF976" s="46"/>
      <c r="CG976" s="46"/>
      <c r="CH976" s="46"/>
      <c r="CI976" s="46"/>
      <c r="CJ976" s="46"/>
      <c r="CK976" s="46"/>
      <c r="CL976" s="46"/>
      <c r="CM976" s="46"/>
      <c r="CN976" s="46"/>
    </row>
    <row r="977">
      <c r="A977" s="46"/>
      <c r="B977" s="46"/>
      <c r="C977" s="46"/>
      <c r="D977" s="46"/>
      <c r="E977" s="46"/>
      <c r="F977" s="46"/>
      <c r="G977" s="46"/>
      <c r="H977" s="46"/>
      <c r="I977" s="46"/>
      <c r="J977" s="46"/>
      <c r="K977" s="46"/>
      <c r="L977" s="51"/>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51"/>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6"/>
      <c r="CA977" s="46"/>
      <c r="CB977" s="46"/>
      <c r="CC977" s="46"/>
      <c r="CD977" s="46"/>
      <c r="CE977" s="46"/>
      <c r="CF977" s="46"/>
      <c r="CG977" s="46"/>
      <c r="CH977" s="46"/>
      <c r="CI977" s="46"/>
      <c r="CJ977" s="46"/>
      <c r="CK977" s="46"/>
      <c r="CL977" s="46"/>
      <c r="CM977" s="46"/>
      <c r="CN977" s="46"/>
    </row>
    <row r="978">
      <c r="A978" s="46"/>
      <c r="B978" s="46"/>
      <c r="C978" s="46"/>
      <c r="D978" s="46"/>
      <c r="E978" s="46"/>
      <c r="F978" s="46"/>
      <c r="G978" s="46"/>
      <c r="H978" s="46"/>
      <c r="I978" s="46"/>
      <c r="J978" s="46"/>
      <c r="K978" s="46"/>
      <c r="L978" s="51"/>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51"/>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6"/>
      <c r="CA978" s="46"/>
      <c r="CB978" s="46"/>
      <c r="CC978" s="46"/>
      <c r="CD978" s="46"/>
      <c r="CE978" s="46"/>
      <c r="CF978" s="46"/>
      <c r="CG978" s="46"/>
      <c r="CH978" s="46"/>
      <c r="CI978" s="46"/>
      <c r="CJ978" s="46"/>
      <c r="CK978" s="46"/>
      <c r="CL978" s="46"/>
      <c r="CM978" s="46"/>
      <c r="CN978" s="46"/>
    </row>
    <row r="979">
      <c r="A979" s="46"/>
      <c r="B979" s="46"/>
      <c r="C979" s="46"/>
      <c r="D979" s="46"/>
      <c r="E979" s="46"/>
      <c r="F979" s="46"/>
      <c r="G979" s="46"/>
      <c r="H979" s="46"/>
      <c r="I979" s="46"/>
      <c r="J979" s="46"/>
      <c r="K979" s="46"/>
      <c r="L979" s="51"/>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51"/>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6"/>
      <c r="CA979" s="46"/>
      <c r="CB979" s="46"/>
      <c r="CC979" s="46"/>
      <c r="CD979" s="46"/>
      <c r="CE979" s="46"/>
      <c r="CF979" s="46"/>
      <c r="CG979" s="46"/>
      <c r="CH979" s="46"/>
      <c r="CI979" s="46"/>
      <c r="CJ979" s="46"/>
      <c r="CK979" s="46"/>
      <c r="CL979" s="46"/>
      <c r="CM979" s="46"/>
      <c r="CN979" s="46"/>
    </row>
    <row r="980">
      <c r="A980" s="46"/>
      <c r="B980" s="46"/>
      <c r="C980" s="46"/>
      <c r="D980" s="46"/>
      <c r="E980" s="46"/>
      <c r="F980" s="46"/>
      <c r="G980" s="46"/>
      <c r="H980" s="46"/>
      <c r="I980" s="46"/>
      <c r="J980" s="46"/>
      <c r="K980" s="46"/>
      <c r="L980" s="51"/>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51"/>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6"/>
      <c r="CA980" s="46"/>
      <c r="CB980" s="46"/>
      <c r="CC980" s="46"/>
      <c r="CD980" s="46"/>
      <c r="CE980" s="46"/>
      <c r="CF980" s="46"/>
      <c r="CG980" s="46"/>
      <c r="CH980" s="46"/>
      <c r="CI980" s="46"/>
      <c r="CJ980" s="46"/>
      <c r="CK980" s="46"/>
      <c r="CL980" s="46"/>
      <c r="CM980" s="46"/>
      <c r="CN980" s="46"/>
    </row>
    <row r="981">
      <c r="A981" s="46"/>
      <c r="B981" s="46"/>
      <c r="C981" s="46"/>
      <c r="D981" s="46"/>
      <c r="E981" s="46"/>
      <c r="F981" s="46"/>
      <c r="G981" s="46"/>
      <c r="H981" s="46"/>
      <c r="I981" s="46"/>
      <c r="J981" s="46"/>
      <c r="K981" s="46"/>
      <c r="L981" s="51"/>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51"/>
      <c r="BB981" s="46"/>
      <c r="BC981" s="46"/>
      <c r="BD981" s="46"/>
      <c r="BE981" s="46"/>
      <c r="BF981" s="46"/>
      <c r="BG981" s="46"/>
      <c r="BH981" s="46"/>
      <c r="BI981" s="46"/>
      <c r="BJ981" s="46"/>
      <c r="BK981" s="46"/>
      <c r="BL981" s="46"/>
      <c r="BM981" s="46"/>
      <c r="BN981" s="46"/>
      <c r="BO981" s="46"/>
      <c r="BP981" s="46"/>
      <c r="BQ981" s="46"/>
      <c r="BR981" s="46"/>
      <c r="BS981" s="46"/>
      <c r="BT981" s="46"/>
      <c r="BU981" s="46"/>
      <c r="BV981" s="46"/>
      <c r="BW981" s="46"/>
      <c r="BX981" s="46"/>
      <c r="BY981" s="46"/>
      <c r="BZ981" s="46"/>
      <c r="CA981" s="46"/>
      <c r="CB981" s="46"/>
      <c r="CC981" s="46"/>
      <c r="CD981" s="46"/>
      <c r="CE981" s="46"/>
      <c r="CF981" s="46"/>
      <c r="CG981" s="46"/>
      <c r="CH981" s="46"/>
      <c r="CI981" s="46"/>
      <c r="CJ981" s="46"/>
      <c r="CK981" s="46"/>
      <c r="CL981" s="46"/>
      <c r="CM981" s="46"/>
      <c r="CN981" s="46"/>
    </row>
    <row r="982">
      <c r="A982" s="46"/>
      <c r="B982" s="46"/>
      <c r="C982" s="46"/>
      <c r="D982" s="46"/>
      <c r="E982" s="46"/>
      <c r="F982" s="46"/>
      <c r="G982" s="46"/>
      <c r="H982" s="46"/>
      <c r="I982" s="46"/>
      <c r="J982" s="46"/>
      <c r="K982" s="46"/>
      <c r="L982" s="51"/>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51"/>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6"/>
      <c r="CA982" s="46"/>
      <c r="CB982" s="46"/>
      <c r="CC982" s="46"/>
      <c r="CD982" s="46"/>
      <c r="CE982" s="46"/>
      <c r="CF982" s="46"/>
      <c r="CG982" s="46"/>
      <c r="CH982" s="46"/>
      <c r="CI982" s="46"/>
      <c r="CJ982" s="46"/>
      <c r="CK982" s="46"/>
      <c r="CL982" s="46"/>
      <c r="CM982" s="46"/>
      <c r="CN982" s="46"/>
    </row>
    <row r="983">
      <c r="A983" s="46"/>
      <c r="B983" s="46"/>
      <c r="C983" s="46"/>
      <c r="D983" s="46"/>
      <c r="E983" s="46"/>
      <c r="F983" s="46"/>
      <c r="G983" s="46"/>
      <c r="H983" s="46"/>
      <c r="I983" s="46"/>
      <c r="J983" s="46"/>
      <c r="K983" s="46"/>
      <c r="L983" s="51"/>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51"/>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6"/>
      <c r="CA983" s="46"/>
      <c r="CB983" s="46"/>
      <c r="CC983" s="46"/>
      <c r="CD983" s="46"/>
      <c r="CE983" s="46"/>
      <c r="CF983" s="46"/>
      <c r="CG983" s="46"/>
      <c r="CH983" s="46"/>
      <c r="CI983" s="46"/>
      <c r="CJ983" s="46"/>
      <c r="CK983" s="46"/>
      <c r="CL983" s="46"/>
      <c r="CM983" s="46"/>
      <c r="CN983" s="46"/>
    </row>
    <row r="984">
      <c r="A984" s="46"/>
      <c r="B984" s="46"/>
      <c r="C984" s="46"/>
      <c r="D984" s="46"/>
      <c r="E984" s="46"/>
      <c r="F984" s="46"/>
      <c r="G984" s="46"/>
      <c r="H984" s="46"/>
      <c r="I984" s="46"/>
      <c r="J984" s="46"/>
      <c r="K984" s="46"/>
      <c r="L984" s="51"/>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51"/>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6"/>
      <c r="CA984" s="46"/>
      <c r="CB984" s="46"/>
      <c r="CC984" s="46"/>
      <c r="CD984" s="46"/>
      <c r="CE984" s="46"/>
      <c r="CF984" s="46"/>
      <c r="CG984" s="46"/>
      <c r="CH984" s="46"/>
      <c r="CI984" s="46"/>
      <c r="CJ984" s="46"/>
      <c r="CK984" s="46"/>
      <c r="CL984" s="46"/>
      <c r="CM984" s="46"/>
      <c r="CN984" s="46"/>
    </row>
    <row r="985">
      <c r="A985" s="46"/>
      <c r="B985" s="46"/>
      <c r="C985" s="46"/>
      <c r="D985" s="46"/>
      <c r="E985" s="46"/>
      <c r="F985" s="46"/>
      <c r="G985" s="46"/>
      <c r="H985" s="46"/>
      <c r="I985" s="46"/>
      <c r="J985" s="46"/>
      <c r="K985" s="46"/>
      <c r="L985" s="51"/>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51"/>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6"/>
      <c r="CA985" s="46"/>
      <c r="CB985" s="46"/>
      <c r="CC985" s="46"/>
      <c r="CD985" s="46"/>
      <c r="CE985" s="46"/>
      <c r="CF985" s="46"/>
      <c r="CG985" s="46"/>
      <c r="CH985" s="46"/>
      <c r="CI985" s="46"/>
      <c r="CJ985" s="46"/>
      <c r="CK985" s="46"/>
      <c r="CL985" s="46"/>
      <c r="CM985" s="46"/>
      <c r="CN985" s="46"/>
    </row>
    <row r="986">
      <c r="A986" s="46"/>
      <c r="B986" s="46"/>
      <c r="C986" s="46"/>
      <c r="D986" s="46"/>
      <c r="E986" s="46"/>
      <c r="F986" s="46"/>
      <c r="G986" s="46"/>
      <c r="H986" s="46"/>
      <c r="I986" s="46"/>
      <c r="J986" s="46"/>
      <c r="K986" s="46"/>
      <c r="L986" s="51"/>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51"/>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6"/>
      <c r="CA986" s="46"/>
      <c r="CB986" s="46"/>
      <c r="CC986" s="46"/>
      <c r="CD986" s="46"/>
      <c r="CE986" s="46"/>
      <c r="CF986" s="46"/>
      <c r="CG986" s="46"/>
      <c r="CH986" s="46"/>
      <c r="CI986" s="46"/>
      <c r="CJ986" s="46"/>
      <c r="CK986" s="46"/>
      <c r="CL986" s="46"/>
      <c r="CM986" s="46"/>
      <c r="CN986" s="46"/>
    </row>
    <row r="987">
      <c r="A987" s="46"/>
      <c r="B987" s="46"/>
      <c r="C987" s="46"/>
      <c r="D987" s="46"/>
      <c r="E987" s="46"/>
      <c r="F987" s="46"/>
      <c r="G987" s="46"/>
      <c r="H987" s="46"/>
      <c r="I987" s="46"/>
      <c r="J987" s="46"/>
      <c r="K987" s="46"/>
      <c r="L987" s="51"/>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51"/>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6"/>
      <c r="CA987" s="46"/>
      <c r="CB987" s="46"/>
      <c r="CC987" s="46"/>
      <c r="CD987" s="46"/>
      <c r="CE987" s="46"/>
      <c r="CF987" s="46"/>
      <c r="CG987" s="46"/>
      <c r="CH987" s="46"/>
      <c r="CI987" s="46"/>
      <c r="CJ987" s="46"/>
      <c r="CK987" s="46"/>
      <c r="CL987" s="46"/>
      <c r="CM987" s="46"/>
      <c r="CN987" s="46"/>
    </row>
    <row r="988">
      <c r="A988" s="46"/>
      <c r="B988" s="46"/>
      <c r="C988" s="46"/>
      <c r="D988" s="46"/>
      <c r="E988" s="46"/>
      <c r="F988" s="46"/>
      <c r="G988" s="46"/>
      <c r="H988" s="46"/>
      <c r="I988" s="46"/>
      <c r="J988" s="46"/>
      <c r="K988" s="46"/>
      <c r="L988" s="51"/>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51"/>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6"/>
      <c r="CA988" s="46"/>
      <c r="CB988" s="46"/>
      <c r="CC988" s="46"/>
      <c r="CD988" s="46"/>
      <c r="CE988" s="46"/>
      <c r="CF988" s="46"/>
      <c r="CG988" s="46"/>
      <c r="CH988" s="46"/>
      <c r="CI988" s="46"/>
      <c r="CJ988" s="46"/>
      <c r="CK988" s="46"/>
      <c r="CL988" s="46"/>
      <c r="CM988" s="46"/>
      <c r="CN988" s="46"/>
    </row>
    <row r="989">
      <c r="A989" s="46"/>
      <c r="B989" s="46"/>
      <c r="C989" s="46"/>
      <c r="D989" s="46"/>
      <c r="E989" s="46"/>
      <c r="F989" s="46"/>
      <c r="G989" s="46"/>
      <c r="H989" s="46"/>
      <c r="I989" s="46"/>
      <c r="J989" s="46"/>
      <c r="K989" s="46"/>
      <c r="L989" s="51"/>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51"/>
      <c r="BB989" s="46"/>
      <c r="BC989" s="46"/>
      <c r="BD989" s="46"/>
      <c r="BE989" s="46"/>
      <c r="BF989" s="46"/>
      <c r="BG989" s="46"/>
      <c r="BH989" s="46"/>
      <c r="BI989" s="46"/>
      <c r="BJ989" s="46"/>
      <c r="BK989" s="46"/>
      <c r="BL989" s="46"/>
      <c r="BM989" s="46"/>
      <c r="BN989" s="46"/>
      <c r="BO989" s="46"/>
      <c r="BP989" s="46"/>
      <c r="BQ989" s="46"/>
      <c r="BR989" s="46"/>
      <c r="BS989" s="46"/>
      <c r="BT989" s="46"/>
      <c r="BU989" s="46"/>
      <c r="BV989" s="46"/>
      <c r="BW989" s="46"/>
      <c r="BX989" s="46"/>
      <c r="BY989" s="46"/>
      <c r="BZ989" s="46"/>
      <c r="CA989" s="46"/>
      <c r="CB989" s="46"/>
      <c r="CC989" s="46"/>
      <c r="CD989" s="46"/>
      <c r="CE989" s="46"/>
      <c r="CF989" s="46"/>
      <c r="CG989" s="46"/>
      <c r="CH989" s="46"/>
      <c r="CI989" s="46"/>
      <c r="CJ989" s="46"/>
      <c r="CK989" s="46"/>
      <c r="CL989" s="46"/>
      <c r="CM989" s="46"/>
      <c r="CN989" s="46"/>
    </row>
    <row r="990">
      <c r="A990" s="46"/>
      <c r="B990" s="46"/>
      <c r="C990" s="46"/>
      <c r="D990" s="46"/>
      <c r="E990" s="46"/>
      <c r="F990" s="46"/>
      <c r="G990" s="46"/>
      <c r="H990" s="46"/>
      <c r="I990" s="46"/>
      <c r="J990" s="46"/>
      <c r="K990" s="46"/>
      <c r="L990" s="51"/>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51"/>
      <c r="BB990" s="46"/>
      <c r="BC990" s="46"/>
      <c r="BD990" s="46"/>
      <c r="BE990" s="46"/>
      <c r="BF990" s="46"/>
      <c r="BG990" s="46"/>
      <c r="BH990" s="46"/>
      <c r="BI990" s="46"/>
      <c r="BJ990" s="46"/>
      <c r="BK990" s="46"/>
      <c r="BL990" s="46"/>
      <c r="BM990" s="46"/>
      <c r="BN990" s="46"/>
      <c r="BO990" s="46"/>
      <c r="BP990" s="46"/>
      <c r="BQ990" s="46"/>
      <c r="BR990" s="46"/>
      <c r="BS990" s="46"/>
      <c r="BT990" s="46"/>
      <c r="BU990" s="46"/>
      <c r="BV990" s="46"/>
      <c r="BW990" s="46"/>
      <c r="BX990" s="46"/>
      <c r="BY990" s="46"/>
      <c r="BZ990" s="46"/>
      <c r="CA990" s="46"/>
      <c r="CB990" s="46"/>
      <c r="CC990" s="46"/>
      <c r="CD990" s="46"/>
      <c r="CE990" s="46"/>
      <c r="CF990" s="46"/>
      <c r="CG990" s="46"/>
      <c r="CH990" s="46"/>
      <c r="CI990" s="46"/>
      <c r="CJ990" s="46"/>
      <c r="CK990" s="46"/>
      <c r="CL990" s="46"/>
      <c r="CM990" s="46"/>
      <c r="CN990" s="46"/>
    </row>
    <row r="991">
      <c r="A991" s="46"/>
      <c r="B991" s="46"/>
      <c r="C991" s="46"/>
      <c r="D991" s="46"/>
      <c r="E991" s="46"/>
      <c r="F991" s="46"/>
      <c r="G991" s="46"/>
      <c r="H991" s="46"/>
      <c r="I991" s="46"/>
      <c r="J991" s="46"/>
      <c r="K991" s="46"/>
      <c r="L991" s="51"/>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51"/>
      <c r="BB991" s="46"/>
      <c r="BC991" s="46"/>
      <c r="BD991" s="46"/>
      <c r="BE991" s="46"/>
      <c r="BF991" s="46"/>
      <c r="BG991" s="46"/>
      <c r="BH991" s="46"/>
      <c r="BI991" s="46"/>
      <c r="BJ991" s="46"/>
      <c r="BK991" s="46"/>
      <c r="BL991" s="46"/>
      <c r="BM991" s="46"/>
      <c r="BN991" s="46"/>
      <c r="BO991" s="46"/>
      <c r="BP991" s="46"/>
      <c r="BQ991" s="46"/>
      <c r="BR991" s="46"/>
      <c r="BS991" s="46"/>
      <c r="BT991" s="46"/>
      <c r="BU991" s="46"/>
      <c r="BV991" s="46"/>
      <c r="BW991" s="46"/>
      <c r="BX991" s="46"/>
      <c r="BY991" s="46"/>
      <c r="BZ991" s="46"/>
      <c r="CA991" s="46"/>
      <c r="CB991" s="46"/>
      <c r="CC991" s="46"/>
      <c r="CD991" s="46"/>
      <c r="CE991" s="46"/>
      <c r="CF991" s="46"/>
      <c r="CG991" s="46"/>
      <c r="CH991" s="46"/>
      <c r="CI991" s="46"/>
      <c r="CJ991" s="46"/>
      <c r="CK991" s="46"/>
      <c r="CL991" s="46"/>
      <c r="CM991" s="46"/>
      <c r="CN991" s="46"/>
    </row>
    <row r="992">
      <c r="A992" s="46"/>
      <c r="B992" s="46"/>
      <c r="C992" s="46"/>
      <c r="D992" s="46"/>
      <c r="E992" s="46"/>
      <c r="F992" s="46"/>
      <c r="G992" s="46"/>
      <c r="H992" s="46"/>
      <c r="I992" s="46"/>
      <c r="J992" s="46"/>
      <c r="K992" s="46"/>
      <c r="L992" s="51"/>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51"/>
      <c r="BB992" s="46"/>
      <c r="BC992" s="46"/>
      <c r="BD992" s="46"/>
      <c r="BE992" s="46"/>
      <c r="BF992" s="46"/>
      <c r="BG992" s="46"/>
      <c r="BH992" s="46"/>
      <c r="BI992" s="46"/>
      <c r="BJ992" s="46"/>
      <c r="BK992" s="46"/>
      <c r="BL992" s="46"/>
      <c r="BM992" s="46"/>
      <c r="BN992" s="46"/>
      <c r="BO992" s="46"/>
      <c r="BP992" s="46"/>
      <c r="BQ992" s="46"/>
      <c r="BR992" s="46"/>
      <c r="BS992" s="46"/>
      <c r="BT992" s="46"/>
      <c r="BU992" s="46"/>
      <c r="BV992" s="46"/>
      <c r="BW992" s="46"/>
      <c r="BX992" s="46"/>
      <c r="BY992" s="46"/>
      <c r="BZ992" s="46"/>
      <c r="CA992" s="46"/>
      <c r="CB992" s="46"/>
      <c r="CC992" s="46"/>
      <c r="CD992" s="46"/>
      <c r="CE992" s="46"/>
      <c r="CF992" s="46"/>
      <c r="CG992" s="46"/>
      <c r="CH992" s="46"/>
      <c r="CI992" s="46"/>
      <c r="CJ992" s="46"/>
      <c r="CK992" s="46"/>
      <c r="CL992" s="46"/>
      <c r="CM992" s="46"/>
      <c r="CN992" s="46"/>
    </row>
    <row r="993">
      <c r="A993" s="46"/>
      <c r="B993" s="46"/>
      <c r="C993" s="46"/>
      <c r="D993" s="46"/>
      <c r="E993" s="46"/>
      <c r="F993" s="46"/>
      <c r="G993" s="46"/>
      <c r="H993" s="46"/>
      <c r="I993" s="46"/>
      <c r="J993" s="46"/>
      <c r="K993" s="46"/>
      <c r="L993" s="51"/>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51"/>
      <c r="BB993" s="46"/>
      <c r="BC993" s="46"/>
      <c r="BD993" s="46"/>
      <c r="BE993" s="46"/>
      <c r="BF993" s="46"/>
      <c r="BG993" s="46"/>
      <c r="BH993" s="46"/>
      <c r="BI993" s="46"/>
      <c r="BJ993" s="46"/>
      <c r="BK993" s="46"/>
      <c r="BL993" s="46"/>
      <c r="BM993" s="46"/>
      <c r="BN993" s="46"/>
      <c r="BO993" s="46"/>
      <c r="BP993" s="46"/>
      <c r="BQ993" s="46"/>
      <c r="BR993" s="46"/>
      <c r="BS993" s="46"/>
      <c r="BT993" s="46"/>
      <c r="BU993" s="46"/>
      <c r="BV993" s="46"/>
      <c r="BW993" s="46"/>
      <c r="BX993" s="46"/>
      <c r="BY993" s="46"/>
      <c r="BZ993" s="46"/>
      <c r="CA993" s="46"/>
      <c r="CB993" s="46"/>
      <c r="CC993" s="46"/>
      <c r="CD993" s="46"/>
      <c r="CE993" s="46"/>
      <c r="CF993" s="46"/>
      <c r="CG993" s="46"/>
      <c r="CH993" s="46"/>
      <c r="CI993" s="46"/>
      <c r="CJ993" s="46"/>
      <c r="CK993" s="46"/>
      <c r="CL993" s="46"/>
      <c r="CM993" s="46"/>
      <c r="CN993" s="46"/>
    </row>
    <row r="994">
      <c r="A994" s="46"/>
      <c r="B994" s="46"/>
      <c r="C994" s="46"/>
      <c r="D994" s="46"/>
      <c r="E994" s="46"/>
      <c r="F994" s="46"/>
      <c r="G994" s="46"/>
      <c r="H994" s="46"/>
      <c r="I994" s="46"/>
      <c r="J994" s="46"/>
      <c r="K994" s="46"/>
      <c r="L994" s="51"/>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51"/>
      <c r="BB994" s="46"/>
      <c r="BC994" s="46"/>
      <c r="BD994" s="46"/>
      <c r="BE994" s="46"/>
      <c r="BF994" s="46"/>
      <c r="BG994" s="46"/>
      <c r="BH994" s="46"/>
      <c r="BI994" s="46"/>
      <c r="BJ994" s="46"/>
      <c r="BK994" s="46"/>
      <c r="BL994" s="46"/>
      <c r="BM994" s="46"/>
      <c r="BN994" s="46"/>
      <c r="BO994" s="46"/>
      <c r="BP994" s="46"/>
      <c r="BQ994" s="46"/>
      <c r="BR994" s="46"/>
      <c r="BS994" s="46"/>
      <c r="BT994" s="46"/>
      <c r="BU994" s="46"/>
      <c r="BV994" s="46"/>
      <c r="BW994" s="46"/>
      <c r="BX994" s="46"/>
      <c r="BY994" s="46"/>
      <c r="BZ994" s="46"/>
      <c r="CA994" s="46"/>
      <c r="CB994" s="46"/>
      <c r="CC994" s="46"/>
      <c r="CD994" s="46"/>
      <c r="CE994" s="46"/>
      <c r="CF994" s="46"/>
      <c r="CG994" s="46"/>
      <c r="CH994" s="46"/>
      <c r="CI994" s="46"/>
      <c r="CJ994" s="46"/>
      <c r="CK994" s="46"/>
      <c r="CL994" s="46"/>
      <c r="CM994" s="46"/>
      <c r="CN994" s="46"/>
    </row>
    <row r="995">
      <c r="A995" s="46"/>
      <c r="B995" s="46"/>
      <c r="C995" s="46"/>
      <c r="D995" s="46"/>
      <c r="E995" s="46"/>
      <c r="F995" s="46"/>
      <c r="G995" s="46"/>
      <c r="H995" s="46"/>
      <c r="I995" s="46"/>
      <c r="J995" s="46"/>
      <c r="K995" s="46"/>
      <c r="L995" s="51"/>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51"/>
      <c r="BB995" s="46"/>
      <c r="BC995" s="46"/>
      <c r="BD995" s="46"/>
      <c r="BE995" s="46"/>
      <c r="BF995" s="46"/>
      <c r="BG995" s="46"/>
      <c r="BH995" s="46"/>
      <c r="BI995" s="46"/>
      <c r="BJ995" s="46"/>
      <c r="BK995" s="46"/>
      <c r="BL995" s="46"/>
      <c r="BM995" s="46"/>
      <c r="BN995" s="46"/>
      <c r="BO995" s="46"/>
      <c r="BP995" s="46"/>
      <c r="BQ995" s="46"/>
      <c r="BR995" s="46"/>
      <c r="BS995" s="46"/>
      <c r="BT995" s="46"/>
      <c r="BU995" s="46"/>
      <c r="BV995" s="46"/>
      <c r="BW995" s="46"/>
      <c r="BX995" s="46"/>
      <c r="BY995" s="46"/>
      <c r="BZ995" s="46"/>
      <c r="CA995" s="46"/>
      <c r="CB995" s="46"/>
      <c r="CC995" s="46"/>
      <c r="CD995" s="46"/>
      <c r="CE995" s="46"/>
      <c r="CF995" s="46"/>
      <c r="CG995" s="46"/>
      <c r="CH995" s="46"/>
      <c r="CI995" s="46"/>
      <c r="CJ995" s="46"/>
      <c r="CK995" s="46"/>
      <c r="CL995" s="46"/>
      <c r="CM995" s="46"/>
      <c r="CN995" s="46"/>
    </row>
    <row r="996">
      <c r="A996" s="46"/>
      <c r="B996" s="46"/>
      <c r="C996" s="46"/>
      <c r="D996" s="46"/>
      <c r="E996" s="46"/>
      <c r="F996" s="46"/>
      <c r="G996" s="46"/>
      <c r="H996" s="46"/>
      <c r="I996" s="46"/>
      <c r="J996" s="46"/>
      <c r="K996" s="46"/>
      <c r="L996" s="51"/>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51"/>
      <c r="BB996" s="46"/>
      <c r="BC996" s="46"/>
      <c r="BD996" s="46"/>
      <c r="BE996" s="46"/>
      <c r="BF996" s="46"/>
      <c r="BG996" s="46"/>
      <c r="BH996" s="46"/>
      <c r="BI996" s="46"/>
      <c r="BJ996" s="46"/>
      <c r="BK996" s="46"/>
      <c r="BL996" s="46"/>
      <c r="BM996" s="46"/>
      <c r="BN996" s="46"/>
      <c r="BO996" s="46"/>
      <c r="BP996" s="46"/>
      <c r="BQ996" s="46"/>
      <c r="BR996" s="46"/>
      <c r="BS996" s="46"/>
      <c r="BT996" s="46"/>
      <c r="BU996" s="46"/>
      <c r="BV996" s="46"/>
      <c r="BW996" s="46"/>
      <c r="BX996" s="46"/>
      <c r="BY996" s="46"/>
      <c r="BZ996" s="46"/>
      <c r="CA996" s="46"/>
      <c r="CB996" s="46"/>
      <c r="CC996" s="46"/>
      <c r="CD996" s="46"/>
      <c r="CE996" s="46"/>
      <c r="CF996" s="46"/>
      <c r="CG996" s="46"/>
      <c r="CH996" s="46"/>
      <c r="CI996" s="46"/>
      <c r="CJ996" s="46"/>
      <c r="CK996" s="46"/>
      <c r="CL996" s="46"/>
      <c r="CM996" s="46"/>
      <c r="CN996" s="46"/>
    </row>
    <row r="997">
      <c r="A997" s="46"/>
      <c r="B997" s="46"/>
      <c r="C997" s="46"/>
      <c r="D997" s="46"/>
      <c r="E997" s="46"/>
      <c r="F997" s="46"/>
      <c r="G997" s="46"/>
      <c r="H997" s="46"/>
      <c r="I997" s="46"/>
      <c r="J997" s="46"/>
      <c r="K997" s="46"/>
      <c r="L997" s="51"/>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51"/>
      <c r="BB997" s="46"/>
      <c r="BC997" s="46"/>
      <c r="BD997" s="46"/>
      <c r="BE997" s="46"/>
      <c r="BF997" s="46"/>
      <c r="BG997" s="46"/>
      <c r="BH997" s="46"/>
      <c r="BI997" s="46"/>
      <c r="BJ997" s="46"/>
      <c r="BK997" s="46"/>
      <c r="BL997" s="46"/>
      <c r="BM997" s="46"/>
      <c r="BN997" s="46"/>
      <c r="BO997" s="46"/>
      <c r="BP997" s="46"/>
      <c r="BQ997" s="46"/>
      <c r="BR997" s="46"/>
      <c r="BS997" s="46"/>
      <c r="BT997" s="46"/>
      <c r="BU997" s="46"/>
      <c r="BV997" s="46"/>
      <c r="BW997" s="46"/>
      <c r="BX997" s="46"/>
      <c r="BY997" s="46"/>
      <c r="BZ997" s="46"/>
      <c r="CA997" s="46"/>
      <c r="CB997" s="46"/>
      <c r="CC997" s="46"/>
      <c r="CD997" s="46"/>
      <c r="CE997" s="46"/>
      <c r="CF997" s="46"/>
      <c r="CG997" s="46"/>
      <c r="CH997" s="46"/>
      <c r="CI997" s="46"/>
      <c r="CJ997" s="46"/>
      <c r="CK997" s="46"/>
      <c r="CL997" s="46"/>
      <c r="CM997" s="46"/>
      <c r="CN997" s="46"/>
    </row>
    <row r="998">
      <c r="A998" s="46"/>
      <c r="B998" s="46"/>
      <c r="C998" s="46"/>
      <c r="D998" s="46"/>
      <c r="E998" s="46"/>
      <c r="F998" s="46"/>
      <c r="G998" s="46"/>
      <c r="H998" s="46"/>
      <c r="I998" s="46"/>
      <c r="J998" s="46"/>
      <c r="K998" s="46"/>
      <c r="L998" s="51"/>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51"/>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6"/>
      <c r="CA998" s="46"/>
      <c r="CB998" s="46"/>
      <c r="CC998" s="46"/>
      <c r="CD998" s="46"/>
      <c r="CE998" s="46"/>
      <c r="CF998" s="46"/>
      <c r="CG998" s="46"/>
      <c r="CH998" s="46"/>
      <c r="CI998" s="46"/>
      <c r="CJ998" s="46"/>
      <c r="CK998" s="46"/>
      <c r="CL998" s="46"/>
      <c r="CM998" s="46"/>
      <c r="CN998" s="46"/>
    </row>
    <row r="999">
      <c r="A999" s="46"/>
      <c r="B999" s="46"/>
      <c r="C999" s="46"/>
      <c r="D999" s="46"/>
      <c r="E999" s="46"/>
      <c r="F999" s="46"/>
      <c r="G999" s="46"/>
      <c r="H999" s="46"/>
      <c r="I999" s="46"/>
      <c r="J999" s="46"/>
      <c r="K999" s="46"/>
      <c r="L999" s="51"/>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51"/>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6"/>
      <c r="CA999" s="46"/>
      <c r="CB999" s="46"/>
      <c r="CC999" s="46"/>
      <c r="CD999" s="46"/>
      <c r="CE999" s="46"/>
      <c r="CF999" s="46"/>
      <c r="CG999" s="46"/>
      <c r="CH999" s="46"/>
      <c r="CI999" s="46"/>
      <c r="CJ999" s="46"/>
      <c r="CK999" s="46"/>
      <c r="CL999" s="46"/>
      <c r="CM999" s="46"/>
      <c r="CN999" s="46"/>
    </row>
    <row r="1000">
      <c r="A1000" s="46"/>
      <c r="B1000" s="46"/>
      <c r="C1000" s="46"/>
      <c r="D1000" s="46"/>
      <c r="E1000" s="46"/>
      <c r="F1000" s="46"/>
      <c r="G1000" s="46"/>
      <c r="H1000" s="46"/>
      <c r="I1000" s="46"/>
      <c r="J1000" s="46"/>
      <c r="K1000" s="46"/>
      <c r="L1000" s="51"/>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51"/>
      <c r="BB1000" s="46"/>
      <c r="BC1000" s="46"/>
      <c r="BD1000" s="46"/>
      <c r="BE1000" s="46"/>
      <c r="BF1000" s="46"/>
      <c r="BG1000" s="46"/>
      <c r="BH1000" s="46"/>
      <c r="BI1000" s="46"/>
      <c r="BJ1000" s="46"/>
      <c r="BK1000" s="46"/>
      <c r="BL1000" s="46"/>
      <c r="BM1000" s="46"/>
      <c r="BN1000" s="46"/>
      <c r="BO1000" s="46"/>
      <c r="BP1000" s="46"/>
      <c r="BQ1000" s="46"/>
      <c r="BR1000" s="46"/>
      <c r="BS1000" s="46"/>
      <c r="BT1000" s="46"/>
      <c r="BU1000" s="46"/>
      <c r="BV1000" s="46"/>
      <c r="BW1000" s="46"/>
      <c r="BX1000" s="46"/>
      <c r="BY1000" s="46"/>
      <c r="BZ1000" s="46"/>
      <c r="CA1000" s="46"/>
      <c r="CB1000" s="46"/>
      <c r="CC1000" s="46"/>
      <c r="CD1000" s="46"/>
      <c r="CE1000" s="46"/>
      <c r="CF1000" s="46"/>
      <c r="CG1000" s="46"/>
      <c r="CH1000" s="46"/>
      <c r="CI1000" s="46"/>
      <c r="CJ1000" s="46"/>
      <c r="CK1000" s="46"/>
      <c r="CL1000" s="46"/>
      <c r="CM1000" s="46"/>
      <c r="CN1000" s="46"/>
    </row>
  </sheetData>
  <drawing r:id="rId1"/>
</worksheet>
</file>